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4" documentId="11_06D7A67DB5571598FE82847C7BEAF1D4505A2DAE" xr6:coauthVersionLast="47" xr6:coauthVersionMax="47" xr10:uidLastSave="{8F28C20D-F9A6-41D3-BD57-8F5196B35D93}"/>
  <bookViews>
    <workbookView xWindow="-120" yWindow="-120" windowWidth="29040" windowHeight="15720" activeTab="2" xr2:uid="{00000000-000D-0000-FFFF-FFFF00000000}"/>
  </bookViews>
  <sheets>
    <sheet name="README" sheetId="1" r:id="rId1"/>
    <sheet name="SETTINGS" sheetId="2" r:id="rId2"/>
    <sheet name="CALENDAR" sheetId="3" r:id="rId3"/>
    <sheet name="CONTENT BACKLOG" sheetId="4" r:id="rId4"/>
    <sheet name="LEADS &amp; RESULTS" sheetId="5" r:id="rId5"/>
    <sheet name="DASHBOARD" sheetId="6" r:id="rId6"/>
  </sheets>
  <definedNames>
    <definedName name="AngleTypes">SETTINGS!$J$2:$J$5</definedName>
    <definedName name="ContentPillars">SETTINGS!$G$2:$G$20</definedName>
    <definedName name="CTAs">SETTINGS!$E$2:$E$20</definedName>
    <definedName name="FunnelStage">SETTINGS!$C$2:$C$20</definedName>
    <definedName name="KPIs">SETTINGS!$I$2:$I$4</definedName>
    <definedName name="Objectives">SETTINGS!$D$2:$D$20</definedName>
    <definedName name="Platforms">SETTINGS!$A$2:$A$20</definedName>
    <definedName name="PostTypes">SETTINGS!$B$2:$B$20</definedName>
    <definedName name="Statuses">SETTINGS!$F$2:$F$20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6" l="1"/>
  <c r="G25" i="6" s="1"/>
  <c r="D25" i="6"/>
  <c r="C25" i="6" s="1"/>
  <c r="H24" i="6"/>
  <c r="G24" i="6" s="1"/>
  <c r="D24" i="6"/>
  <c r="C24" i="6"/>
  <c r="H23" i="6"/>
  <c r="G23" i="6" s="1"/>
  <c r="D23" i="6"/>
  <c r="C23" i="6"/>
  <c r="H22" i="6"/>
  <c r="G22" i="6" s="1"/>
  <c r="D22" i="6"/>
  <c r="C22" i="6"/>
  <c r="H21" i="6"/>
  <c r="G21" i="6" s="1"/>
  <c r="D21" i="6"/>
  <c r="C21" i="6"/>
  <c r="C17" i="6"/>
  <c r="C16" i="6"/>
  <c r="C15" i="6"/>
  <c r="C12" i="6"/>
  <c r="C11" i="6"/>
  <c r="C10" i="6"/>
  <c r="C9" i="6"/>
  <c r="C8" i="6"/>
  <c r="C7" i="6"/>
  <c r="C4" i="6"/>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2" i="5"/>
  <c r="P25" i="3"/>
  <c r="P24" i="3"/>
  <c r="P23" i="3"/>
  <c r="P22" i="3"/>
  <c r="P21" i="3"/>
  <c r="P20" i="3"/>
  <c r="P19" i="3"/>
  <c r="P18" i="3"/>
  <c r="P17" i="3"/>
  <c r="P16" i="3"/>
  <c r="P15" i="3"/>
  <c r="P14" i="3"/>
  <c r="P13" i="3"/>
  <c r="P12" i="3"/>
  <c r="P11" i="3"/>
  <c r="P10" i="3"/>
  <c r="P9" i="3"/>
  <c r="P8" i="3"/>
  <c r="P7" i="3"/>
  <c r="P6" i="3"/>
  <c r="P5" i="3"/>
  <c r="P4" i="3"/>
  <c r="P3" i="3"/>
  <c r="P2" i="3"/>
</calcChain>
</file>

<file path=xl/sharedStrings.xml><?xml version="1.0" encoding="utf-8"?>
<sst xmlns="http://schemas.openxmlformats.org/spreadsheetml/2006/main" count="897" uniqueCount="254">
  <si>
    <t>Planeamento de Redes Sociais - Guia Rápido</t>
  </si>
  <si>
    <t>Como usar o documento:</t>
  </si>
  <si>
    <t>• Use a sheet CALENDAR para planear os posts (tem 12 semanas focadas em Quartas e Sábados).</t>
  </si>
  <si>
    <t>• Use os menus dropdown nas colunas para garantir consistência dos dados.</t>
  </si>
  <si>
    <t>• Em SETTINGS, pode atualizar tipos de post, plataformas ou pilares (não altere a posição das tabelas a menos que atualize os limites definidos).</t>
  </si>
  <si>
    <t>• A sheet DASHBOARD dá-lhe um resumo automático do planeamento.</t>
  </si>
  <si>
    <t>• Use CONTENT BACKLOG para guardar ideias soltas sem data agendada.</t>
  </si>
  <si>
    <t>• Insira dados reais de performance na sheet LEADS &amp; RESULTS com consistência.</t>
  </si>
  <si>
    <t/>
  </si>
  <si>
    <t>Significado dos Estados (Status):</t>
  </si>
  <si>
    <t>• Idea: Apenas um conceito a explorar.</t>
  </si>
  <si>
    <t>• Draft: Textos a serem redigidos ou ativos em criação.</t>
  </si>
  <si>
    <t>• Needs Review: Aguarda aprovação do cliente ou diretor criativo.</t>
  </si>
  <si>
    <t>• Approved: Conteúdo validado e pronto para ser agendado.</t>
  </si>
  <si>
    <t>• Scheduled: Já carregado e programado na plataforma de redes sociais.</t>
  </si>
  <si>
    <t>• Published: Post já publicado e a correr online.</t>
  </si>
  <si>
    <t>• Repurpose: Post antigo a ser transformado em novo formato.</t>
  </si>
  <si>
    <t>• Archived: Ideia ou draft cancelado.</t>
  </si>
  <si>
    <t>Platforms</t>
  </si>
  <si>
    <t>Post Types</t>
  </si>
  <si>
    <t>Funnel Stage</t>
  </si>
  <si>
    <t>Objective</t>
  </si>
  <si>
    <t>CTA</t>
  </si>
  <si>
    <t>Status</t>
  </si>
  <si>
    <t>Content Pillars</t>
  </si>
  <si>
    <t>UTM Templates</t>
  </si>
  <si>
    <t>KPI Principal</t>
  </si>
  <si>
    <t>Angle Type</t>
  </si>
  <si>
    <t>Instagram</t>
  </si>
  <si>
    <t>Reels</t>
  </si>
  <si>
    <t>Awareness</t>
  </si>
  <si>
    <t>Traffic</t>
  </si>
  <si>
    <t>Pedir orçamento</t>
  </si>
  <si>
    <t>Idea</t>
  </si>
  <si>
    <t>Work/Portfolio</t>
  </si>
  <si>
    <t>utm_source</t>
  </si>
  <si>
    <t>Clicks</t>
  </si>
  <si>
    <t>Educativo</t>
  </si>
  <si>
    <t>Facebook</t>
  </si>
  <si>
    <t>Carousel</t>
  </si>
  <si>
    <t>Consideration</t>
  </si>
  <si>
    <t>Leads</t>
  </si>
  <si>
    <t>Ver portfólio</t>
  </si>
  <si>
    <t>Draft</t>
  </si>
  <si>
    <t>Behind the scenes</t>
  </si>
  <si>
    <t>utm_medium</t>
  </si>
  <si>
    <t>Autoridade</t>
  </si>
  <si>
    <t>LinkedIn</t>
  </si>
  <si>
    <t>Single Image</t>
  </si>
  <si>
    <t>Conversion</t>
  </si>
  <si>
    <t>Branding</t>
  </si>
  <si>
    <t>Ler artigo</t>
  </si>
  <si>
    <t>Needs Review</t>
  </si>
  <si>
    <t>Tips/Value</t>
  </si>
  <si>
    <t>utm_campaign</t>
  </si>
  <si>
    <t>Engagement</t>
  </si>
  <si>
    <t>Prova Social</t>
  </si>
  <si>
    <t>Story</t>
  </si>
  <si>
    <t>Community</t>
  </si>
  <si>
    <t>Contactar</t>
  </si>
  <si>
    <t>Approved</t>
  </si>
  <si>
    <t>Case studies</t>
  </si>
  <si>
    <t>utm_content</t>
  </si>
  <si>
    <t>Conversão</t>
  </si>
  <si>
    <t>Static Video</t>
  </si>
  <si>
    <t>Saber mais</t>
  </si>
  <si>
    <t>Scheduled</t>
  </si>
  <si>
    <t>Services</t>
  </si>
  <si>
    <t>Published</t>
  </si>
  <si>
    <t>Testimonials</t>
  </si>
  <si>
    <t>Repurpose</t>
  </si>
  <si>
    <t>Culture</t>
  </si>
  <si>
    <t>Archived</t>
  </si>
  <si>
    <t>Week</t>
  </si>
  <si>
    <t>Date</t>
  </si>
  <si>
    <t>Day</t>
  </si>
  <si>
    <t>Platform</t>
  </si>
  <si>
    <t>Content Pillar</t>
  </si>
  <si>
    <t>Post Type</t>
  </si>
  <si>
    <t>Topic/Angle</t>
  </si>
  <si>
    <t>Hook</t>
  </si>
  <si>
    <t>Caption PT</t>
  </si>
  <si>
    <t>Caption EN</t>
  </si>
  <si>
    <t>Link</t>
  </si>
  <si>
    <t>UTM Campaign</t>
  </si>
  <si>
    <t>Final URL with UTM</t>
  </si>
  <si>
    <t>Asset Needed</t>
  </si>
  <si>
    <t>Asset Type</t>
  </si>
  <si>
    <t>Asset Owner</t>
  </si>
  <si>
    <t>Copy Owner</t>
  </si>
  <si>
    <t>Due Date</t>
  </si>
  <si>
    <t>Approval</t>
  </si>
  <si>
    <t>Publish DateTime</t>
  </si>
  <si>
    <t>Notes</t>
  </si>
  <si>
    <t>Problem Being Addressed</t>
  </si>
  <si>
    <t>Quarta-feira</t>
  </si>
  <si>
    <t>Novo Projeto Lançado</t>
  </si>
  <si>
    <t>Vê como transformámos a marca X</t>
  </si>
  <si>
    <t>O design tem o poder de reposicionar uma marca no mercado. Neste novo projeto, fomos ao detalhe para criar uma experiência digital que reflete a verdadeira essência e ambição do nosso cliente. Desde a arquitetura de informação à interface, cada elemento foi pensado para guiar o utilizador de forma fluida e impactante. Curioso para ver o resultado final e os bastidores deste desafio de crescimento e visibilidade?
Clica no link e vê o portfólio.</t>
  </si>
  <si>
    <t>Design has the power to reposition a brand in the market. In this new project, we went down to the details to create a digital experience that reflects the true essence and ambition of our client. From information architecture to the interface, every element was designed to guide the user in a fluid and impactful way. Curious to see the final result and the scenes behind this B2B growth and visibility challenge?
Click the link and see the portfolio.</t>
  </si>
  <si>
    <t>https://sueste.com/</t>
  </si>
  <si>
    <t>social_w1</t>
  </si>
  <si>
    <t>Sim</t>
  </si>
  <si>
    <t>Design</t>
  </si>
  <si>
    <t>Equipa Design</t>
  </si>
  <si>
    <t>Equipa Copy</t>
  </si>
  <si>
    <t>Desafio de crescimento e visibilidade B2B</t>
  </si>
  <si>
    <t>Sábado</t>
  </si>
  <si>
    <t>3 erros no design do site</t>
  </si>
  <si>
    <t>Estás a perder clientes se o teu site tem isto</t>
  </si>
  <si>
    <t>Um site não pode ser apenas bonito, tem de converter. Na nossa experiência a analisar presenças digitais B2B, estes são os 3 erros que mais afastam potenciais clientes: mensagens confusas, navegação pouco intuitiva e falta de apelos à ação claros. Estes atritos destroem a confiança de quem tenta perceber como podes ajudar. Queres parar de perder oportunidades através do teu site?
Vamos conversar. Entra no link e pede um orçamento para reestruturarmos a tua presença digital.</t>
  </si>
  <si>
    <t>A website can't just be beautiful, it has to convert. In our experience analyzing B2B digital presences, these are the 3 mistakes that most drive potential clients away: confusing messaging, unintuitive navigation, and a lack of clear calls to action. These frictions destroy the trust of anyone trying to understand how you can help. Want to stop losing opportunities through your website?
Let's talk. Enter the link and request a quote to restructure your digital presence.</t>
  </si>
  <si>
    <t>Reunião de brainstorm</t>
  </si>
  <si>
    <t>Espreita como nascem as ideias</t>
  </si>
  <si>
    <t>Antes da primeira linha de código ou mockup, o trabalho começa aqui. Quando nos desafiam a resolver um obstáculo de crescimento, sentamo-nos à mesa com um objetivo claro: encontrar um ângulo diferenciador que alinhe estratégia com criatividade. Os primeiros rascunhos são sempre caóticos, mas é do caos focado que sugem as melhores soluções digitais. Qual é o vosso processo favorito para arrancar novos projetos?
Acede ao nosso link para saberes mais sobre como trabalhamos.</t>
  </si>
  <si>
    <t>Before the first line of code or mockup, the work begins right here. When challenged to solve a growth obstacle, we sit around the table with one clear goal: to find a differentiating angle that aligns strategy with creativity. The first drafts are always chaotic, but it is from focused chaos that the best digital solutions emerge. What is your favorite process to kick off new projects?
Access our link to know more about how we work.</t>
  </si>
  <si>
    <t>social_w2</t>
  </si>
  <si>
    <t>Pacote Criação Websites</t>
  </si>
  <si>
    <t>Precisa de um site novo este mês?</t>
  </si>
  <si>
    <t>Dar um salto na visibilidade do teu negócio não precisa de demorar meses. O nosso pacote de criação de websites foi desenhado especificamente para empresas B2B que querem avançar rapidamente mantendo uma imagem premium focada em conversão. Estruturamos a proposta de valor, desenhamos a interface à medida e entregamos um site pronto para impulsionar resultados.
Pronto para o próximo passo? Usa o link e contacta-nos.</t>
  </si>
  <si>
    <t>Taking a leap in your business visibility doesn't need to take months. Our website creation package is tailored specifically for B2B companies looking to move quickly while maintaining a premium image focused on conversion. We structure your value proposition, design a custom interface, and deliver a website ready to boost results.
Ready for the next step? Use the link and contact us.</t>
  </si>
  <si>
    <t>O que dizem de nós</t>
  </si>
  <si>
    <t>"A Sueste mudou o nosso negócio"</t>
  </si>
  <si>
    <t>O final de um projeto web só é um sucesso quando o cliente vê mudanças reais no dia a dia. Ouvir que a nova plataforma melhorou métricas cruciais é o maior reconhecimento da eficácia do nosso método. Mais do que estética, a nossa agência foca-se em entregar ferramentas digitais sólidas que posicionam a marca como líder no seu mercado.
Queres ver o que temos construído? Vai ao link e vê o nosso portfólio completo.</t>
  </si>
  <si>
    <t>The end of a web project is only a success when the client sees real changes day-to-day. Hearing that the new platform improved crucial metrics is the greatest acknowledgment of our method's effectiveness. More than aesthetics, our agency focuses on delivering solid digital tools that position the brand as a leader in its market.
Want to see what we've been building? Go to the link and see our complete portfolio.</t>
  </si>
  <si>
    <t>social_w3</t>
  </si>
  <si>
    <t>1 dia no nosso escritório</t>
  </si>
  <si>
    <t>Hoje a equipa da Sueste esteve focada em...</t>
  </si>
  <si>
    <t>Um dia de trabalho na Sueste nunca é igual ao anterior. Hoje a prioridade foi refinar a arquitetura de informação de uma plataforma B2B, focar em sessões de UX/UI, e garantir a performance mobile. O segredo de um projeto coeso está no trabalho de equipa e na constante otimização.
Queres saber mais sobre e conhecer quem faz a magia acontecer? Clica no link e descobre.</t>
  </si>
  <si>
    <t>A workday at Sueste is never the same as the last. Today, the priority was refining the information architecture of a B2B platform, focusing on UX/UI sessions, and ensuring mobile performance. The secret to a cohesive project lies in teamwork and constant optimization.
Want to know more and meet who makes the magic happen? Click the link and discover.</t>
  </si>
  <si>
    <t>Aumento de 200% tráfego</t>
  </si>
  <si>
    <t>Como fizemos o site Y crescer 200%</t>
  </si>
  <si>
    <t>Dados que falam mais alto do que promessas. Quando assumimos este caso de estudo, o diagnóstico inicial revelou fortes falhas na retenção. Aplicámos metodologias de UX focadas em acessibilidade e reposicionámos o copy da landing page. O resultado? Um crescimento de 200% no tráfego qualificado que aumentou a geração de leads do cliente num mercado altamente competitivo.
Clica no link e explora como o fizemos neste novo artigo.</t>
  </si>
  <si>
    <t>Data that speaks louder than promises. When we took on this case study, the initial diagnosis revealed strong flaws in retention. We applied UX methodologies focused on accessibility and repositioned the landing page's copy. The result? A 200% growth in qualified traffic that increased the client's lead generation in a highly competitive market.
Click the link and explore how we did it in this new article.</t>
  </si>
  <si>
    <t>social_w4</t>
  </si>
  <si>
    <t>social_w5</t>
  </si>
  <si>
    <t>social_w6</t>
  </si>
  <si>
    <t>social_w7</t>
  </si>
  <si>
    <t>social_w8</t>
  </si>
  <si>
    <t>social_w9</t>
  </si>
  <si>
    <t>social_w10</t>
  </si>
  <si>
    <t>social_w11</t>
  </si>
  <si>
    <t>social_w12</t>
  </si>
  <si>
    <t>Idea Title</t>
  </si>
  <si>
    <t>Description</t>
  </si>
  <si>
    <t>Priority</t>
  </si>
  <si>
    <t>Link/Reference</t>
  </si>
  <si>
    <t>O teu site afasta clientes?</t>
  </si>
  <si>
    <t>3 sinais de que o UI do teu site precisa de refactor urgente.</t>
  </si>
  <si>
    <t>Focar em métricas de bounce rate</t>
  </si>
  <si>
    <t>Alta</t>
  </si>
  <si>
    <t>sueste.com/blog/ui</t>
  </si>
  <si>
    <t>Sueste Behind the Scenes</t>
  </si>
  <si>
    <t>Como fazemos QA antes de um lançamento de site.</t>
  </si>
  <si>
    <t>Checklist de dev</t>
  </si>
  <si>
    <t>Média</t>
  </si>
  <si>
    <t>Aumentar Leads em B2B</t>
  </si>
  <si>
    <t>Porque formulários longos estão a matar a tua conversão.</t>
  </si>
  <si>
    <t>Mostrar antes e depois num mockup</t>
  </si>
  <si>
    <t>Cliente X: Crescimento de 150%</t>
  </si>
  <si>
    <t>Como refizemos a presença digital da marca X e aumentámos conversões.</t>
  </si>
  <si>
    <t>Vídeo focado nos dados reais.</t>
  </si>
  <si>
    <t>Branding não é só um logotipo</t>
  </si>
  <si>
    <t>O que o teu cliente realmente vê quando olha para a tua marca.</t>
  </si>
  <si>
    <t>Carrossel c/ exemplos visuais</t>
  </si>
  <si>
    <t>O nosso processo Criativo</t>
  </si>
  <si>
    <t>Da ideia ao design final no Figma.</t>
  </si>
  <si>
    <t>Reels em fast-forward</t>
  </si>
  <si>
    <t>Porque a Sueste?</t>
  </si>
  <si>
    <t>Diferenças entre uma agência genérica e uma focada em conversão e design premium.</t>
  </si>
  <si>
    <t>Ataque ao mercado de fast-food design</t>
  </si>
  <si>
    <t>Teste de 5 Segundos</t>
  </si>
  <si>
    <t>Pede ao utilizador para olhar para o site dele e dizer o que a empresa faz em 5s.</t>
  </si>
  <si>
    <t>Carrossel interativo</t>
  </si>
  <si>
    <t>O impacto do Copywriting</t>
  </si>
  <si>
    <t>Um bom design num site não salva um texto confuso.</t>
  </si>
  <si>
    <t>Exemplo prático de troca de H1</t>
  </si>
  <si>
    <t>Reações reais ao nosso trabalho</t>
  </si>
  <si>
    <t>Vídeo do cliente a ver a primeira versão do site.</t>
  </si>
  <si>
    <t>Se possível gravação de ecrã/voz</t>
  </si>
  <si>
    <t>Tipografia Importa</t>
  </si>
  <si>
    <t>Como fontes erradas afetam a credibilidade da tua empresa.</t>
  </si>
  <si>
    <t>Comparação Comic Sans vs Inter</t>
  </si>
  <si>
    <t>Baixa</t>
  </si>
  <si>
    <t>Design Systems</t>
  </si>
  <si>
    <t>Porque criamos sempre um System UI para os clientes escalarem.</t>
  </si>
  <si>
    <t>Explicar a utilidade</t>
  </si>
  <si>
    <t>UX vs UI</t>
  </si>
  <si>
    <t>Guerra de conceitos, qual a diferença?</t>
  </si>
  <si>
    <t>Meme ou gráfico simples</t>
  </si>
  <si>
    <t>Websites lentos</t>
  </si>
  <si>
    <t>Como perder clientes por causa de loading time.</t>
  </si>
  <si>
    <t>Mostrar testes no LightHouse.</t>
  </si>
  <si>
    <t>SEO + Design</t>
  </si>
  <si>
    <t>Eles têm de trabalhar juntos para funcionar. Explicar como.</t>
  </si>
  <si>
    <t>Focar em tags semânticas e hierarquia</t>
  </si>
  <si>
    <t>Os nossos valores</t>
  </si>
  <si>
    <t>Como a nossa cultura radical de honestidade impacta a tua entrega.</t>
  </si>
  <si>
    <t>Story com testemunho da equipa</t>
  </si>
  <si>
    <t>Como começar connosco?</t>
  </si>
  <si>
    <t>Passo a passo do onboarding de um novo cliente na Sueste.</t>
  </si>
  <si>
    <t>Simplificar a visão de processo</t>
  </si>
  <si>
    <t>Tendências 2026</t>
  </si>
  <si>
    <t>O que vai estar forte em web design este ano: Micro-interactions.</t>
  </si>
  <si>
    <t>Mostrar showcase</t>
  </si>
  <si>
    <t>Paletas de Cor</t>
  </si>
  <si>
    <t>Psicologia da cor no teu CTA, como aumentar o CTR apenas com uma cor.</t>
  </si>
  <si>
    <t>Mostrar A/B testing simulado</t>
  </si>
  <si>
    <t>Mito: Site só se faz uma vez</t>
  </si>
  <si>
    <t>Site como produto vivo que evolui com a empresa e com os utilizadores.</t>
  </si>
  <si>
    <t>Análise de evolução Iterativa</t>
  </si>
  <si>
    <t>A importância do Mobile</t>
  </si>
  <si>
    <t>Mais de 70% dos users vê o teu site no telemóvel. O teu site está preparado?</t>
  </si>
  <si>
    <t>Screen recording telemóvel</t>
  </si>
  <si>
    <t>Dark Mode UI</t>
  </si>
  <si>
    <t>Como desenhamos a versão dark do nosso portefólio com contrastes.</t>
  </si>
  <si>
    <t>Focus visual apurado</t>
  </si>
  <si>
    <t>Auditoria Gratuita</t>
  </si>
  <si>
    <t>Temos 5 auditorias grátis a sites este mês. Candita-te para a tua.</t>
  </si>
  <si>
    <t>Vagas limitadas mental trigger</t>
  </si>
  <si>
    <t>Erros de Navegação</t>
  </si>
  <si>
    <t>Menus confusos que matam a user journey antes de chegar ao fim.</t>
  </si>
  <si>
    <t>Red flags de navegação</t>
  </si>
  <si>
    <t>Testemunho: Empresa Y</t>
  </si>
  <si>
    <t>Como ajudámos a startup Y a faturar mais com uma alteração de layout.</t>
  </si>
  <si>
    <t>Citação direta e foto do cliente</t>
  </si>
  <si>
    <t>Post ID/URL</t>
  </si>
  <si>
    <t>Campaign</t>
  </si>
  <si>
    <t>Impressions</t>
  </si>
  <si>
    <t>Reach</t>
  </si>
  <si>
    <t>Engagements</t>
  </si>
  <si>
    <t>CTR</t>
  </si>
  <si>
    <t>CPL</t>
  </si>
  <si>
    <t>📊 DASHBOARD E MÉTRICAS</t>
  </si>
  <si>
    <t>Total Posts Planeados:</t>
  </si>
  <si>
    <t>ESTADOS DE PUBLICAÇÃO:</t>
  </si>
  <si>
    <t>Posts - Idea:</t>
  </si>
  <si>
    <t>Posts - Draft:</t>
  </si>
  <si>
    <t>Posts - Needs Review:</t>
  </si>
  <si>
    <t>Posts - Approved:</t>
  </si>
  <si>
    <t>Posts - Scheduled:</t>
  </si>
  <si>
    <t>Posts - Published:</t>
  </si>
  <si>
    <t>MÉTRICAS CORE GLOBAIS:</t>
  </si>
  <si>
    <t>Total Clicks:</t>
  </si>
  <si>
    <t>Total Leads:</t>
  </si>
  <si>
    <t>CTR Médio:</t>
  </si>
  <si>
    <t>🏆 TOP 5 POSTS (MÉTRICAS)</t>
  </si>
  <si>
    <t>Rank</t>
  </si>
  <si>
    <t>Campanha (Clicks)</t>
  </si>
  <si>
    <t>Qtd Clicks</t>
  </si>
  <si>
    <t>Campanha (Leads)</t>
  </si>
  <si>
    <t>Qtd Leads</t>
  </si>
  <si>
    <t>Nota: A tabela "Top 5" usa algoritmos simples. Pode haver repetição de campanha se existirem múltiplas com os mesmos números exactos.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</si>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</sst>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9" x14ac:knownFonts="1">
    <font>
      <sz val="11"/>
      <color theme="1"/>
      <name val="Calibri"/>
      <family val="2"/>
      <scheme val="minor"/>
    </font>
    <font>
      <b/>
      <sz val="14"/>
      <name val="Calibri"/>
    </font>
    <font>
      <b/>
      <sz val="11"/>
      <color rgb="FFFFFFFF"/>
      <name val="Calibri"/>
    </font>
    <font>
      <b/>
      <sz val="16"/>
      <color rgb="FF4F81BD"/>
      <name val="Calibri"/>
    </font>
    <font>
      <b/>
      <sz val="11"/>
      <name val="Calibri"/>
    </font>
    <font>
      <b/>
      <sz val="11"/>
      <color rgb="FF4F81BD"/>
      <name val="Calibri"/>
    </font>
    <font>
      <b/>
      <sz val="14"/>
      <color rgb="FF4F81BD"/>
      <name val="Calibri"/>
    </font>
    <font>
      <i/>
      <sz val="9"/>
      <name val="Calibri"/>
    </font>
    <font>
      <u/>
      <sz val="11"/>
      <color theme="1"/>
      <name val="Calibri"/>
      <family val="2"/>
      <scheme val="minor"/>
    </font>
  </fonts>
  <fills count="4">
    <fill>
      <patternFill patternType="none"/>
    </fill>
    <fill>
      <patternFill patternType="gray125"/>
    </fill>
    <fill>
      <patternFill patternType="solid">
        <fgColor rgb="FF4F81BD"/>
      </patternFill>
    </fill>
    <fill>
      <patternFill patternType="solid">
        <fgColor rgb="FFA6A6A6"/>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2" borderId="0" xfId="0" applyFont="1" applyFill="1"/>
    <xf numFmtId="0" fontId="2" fillId="0" borderId="0" xfId="0" applyFont="1"/>
    <xf numFmtId="14" fontId="0" fillId="0" borderId="0" xfId="0" applyNumberFormat="1"/>
    <xf numFmtId="22" fontId="0" fillId="0" borderId="0" xfId="0" applyNumberFormat="1"/>
    <xf numFmtId="10" fontId="0" fillId="0" borderId="0" xfId="0" applyNumberFormat="1"/>
    <xf numFmtId="164" fontId="0" fillId="0" borderId="0" xfId="0" applyNumberFormat="1"/>
    <xf numFmtId="0" fontId="3" fillId="0" borderId="0" xfId="0" applyFont="1"/>
    <xf numFmtId="0" fontId="4" fillId="0" borderId="0" xfId="0" applyFont="1"/>
    <xf numFmtId="0" fontId="5" fillId="0" borderId="0" xfId="0" applyFont="1"/>
    <xf numFmtId="10" fontId="4" fillId="0" borderId="0" xfId="0" applyNumberFormat="1" applyFont="1"/>
    <xf numFmtId="0" fontId="6" fillId="0" borderId="0" xfId="0" applyFont="1"/>
    <xf numFmtId="0" fontId="2" fillId="3" borderId="0" xfId="0" applyFont="1" applyFill="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defaultRowHeight="15" x14ac:dyDescent="0.25"/>
  <cols>
    <col min="1" max="1" width="120" customWidth="1"/>
  </cols>
  <sheetData>
    <row r="1" spans="1:1" ht="18.75" x14ac:dyDescent="0.3">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
  <sheetViews>
    <sheetView workbookViewId="0"/>
  </sheetViews>
  <sheetFormatPr defaultRowHeight="15" x14ac:dyDescent="0.25"/>
  <cols>
    <col min="1" max="8" width="20" customWidth="1"/>
  </cols>
  <sheetData>
    <row r="1" spans="1:10" x14ac:dyDescent="0.25">
      <c r="A1" s="2" t="s">
        <v>18</v>
      </c>
      <c r="B1" s="2" t="s">
        <v>19</v>
      </c>
      <c r="C1" s="2" t="s">
        <v>20</v>
      </c>
      <c r="D1" s="2" t="s">
        <v>21</v>
      </c>
      <c r="E1" s="2" t="s">
        <v>22</v>
      </c>
      <c r="F1" s="2" t="s">
        <v>23</v>
      </c>
      <c r="G1" s="2" t="s">
        <v>24</v>
      </c>
      <c r="H1" s="2" t="s">
        <v>25</v>
      </c>
      <c r="I1" s="2" t="s">
        <v>26</v>
      </c>
      <c r="J1" s="2" t="s">
        <v>27</v>
      </c>
    </row>
    <row r="2" spans="1:10" x14ac:dyDescent="0.25">
      <c r="A2" t="s">
        <v>28</v>
      </c>
      <c r="B2" t="s">
        <v>29</v>
      </c>
      <c r="C2" t="s">
        <v>30</v>
      </c>
      <c r="D2" t="s">
        <v>31</v>
      </c>
      <c r="E2" t="s">
        <v>32</v>
      </c>
      <c r="F2" t="s">
        <v>33</v>
      </c>
      <c r="G2" t="s">
        <v>34</v>
      </c>
      <c r="H2" t="s">
        <v>35</v>
      </c>
      <c r="I2" t="s">
        <v>36</v>
      </c>
      <c r="J2" t="s">
        <v>37</v>
      </c>
    </row>
    <row r="3" spans="1:10" x14ac:dyDescent="0.25">
      <c r="A3" t="s">
        <v>38</v>
      </c>
      <c r="B3" t="s">
        <v>39</v>
      </c>
      <c r="C3" t="s">
        <v>40</v>
      </c>
      <c r="D3" t="s">
        <v>41</v>
      </c>
      <c r="E3" t="s">
        <v>42</v>
      </c>
      <c r="F3" t="s">
        <v>43</v>
      </c>
      <c r="G3" t="s">
        <v>44</v>
      </c>
      <c r="H3" t="s">
        <v>45</v>
      </c>
      <c r="I3" t="s">
        <v>41</v>
      </c>
      <c r="J3" t="s">
        <v>46</v>
      </c>
    </row>
    <row r="4" spans="1:10" x14ac:dyDescent="0.25">
      <c r="A4" t="s">
        <v>47</v>
      </c>
      <c r="B4" t="s">
        <v>48</v>
      </c>
      <c r="C4" t="s">
        <v>49</v>
      </c>
      <c r="D4" t="s">
        <v>50</v>
      </c>
      <c r="E4" t="s">
        <v>51</v>
      </c>
      <c r="F4" t="s">
        <v>52</v>
      </c>
      <c r="G4" t="s">
        <v>53</v>
      </c>
      <c r="H4" t="s">
        <v>54</v>
      </c>
      <c r="I4" t="s">
        <v>55</v>
      </c>
      <c r="J4" t="s">
        <v>56</v>
      </c>
    </row>
    <row r="5" spans="1:10" x14ac:dyDescent="0.25">
      <c r="B5" t="s">
        <v>57</v>
      </c>
      <c r="D5" t="s">
        <v>58</v>
      </c>
      <c r="E5" t="s">
        <v>59</v>
      </c>
      <c r="F5" t="s">
        <v>60</v>
      </c>
      <c r="G5" t="s">
        <v>61</v>
      </c>
      <c r="H5" t="s">
        <v>62</v>
      </c>
      <c r="J5" t="s">
        <v>63</v>
      </c>
    </row>
    <row r="6" spans="1:10" x14ac:dyDescent="0.25">
      <c r="B6" t="s">
        <v>64</v>
      </c>
      <c r="E6" t="s">
        <v>65</v>
      </c>
      <c r="F6" t="s">
        <v>66</v>
      </c>
      <c r="G6" t="s">
        <v>67</v>
      </c>
    </row>
    <row r="7" spans="1:10" x14ac:dyDescent="0.25">
      <c r="F7" t="s">
        <v>68</v>
      </c>
      <c r="G7" t="s">
        <v>69</v>
      </c>
    </row>
    <row r="8" spans="1:10" x14ac:dyDescent="0.25">
      <c r="F8" t="s">
        <v>70</v>
      </c>
      <c r="G8" t="s">
        <v>71</v>
      </c>
    </row>
    <row r="9" spans="1:10" x14ac:dyDescent="0.25">
      <c r="F9" t="s">
        <v>72</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
  <sheetViews>
    <sheetView tabSelected="1" topLeftCell="M1" zoomScaleNormal="100" workbookViewId="0">
      <pane ySplit="1" topLeftCell="A2" activePane="bottomLeft" state="frozen"/>
      <selection pane="bottomLeft" activeCell="W27" sqref="W27"/>
    </sheetView>
  </sheetViews>
  <sheetFormatPr defaultRowHeight="15" x14ac:dyDescent="0.25"/>
  <cols>
    <col min="1" max="1" width="8" customWidth="1"/>
    <col min="2" max="4" width="15" customWidth="1"/>
    <col min="5" max="5" width="18" customWidth="1"/>
    <col min="6" max="8" width="15" customWidth="1"/>
    <col min="9" max="9" width="30" customWidth="1"/>
    <col min="10" max="10" width="35" customWidth="1"/>
    <col min="11" max="12" width="45" customWidth="1"/>
    <col min="13" max="13" width="20" customWidth="1"/>
    <col min="14" max="15" width="25" customWidth="1"/>
    <col min="16" max="16" width="45" customWidth="1"/>
    <col min="17" max="22" width="15" customWidth="1"/>
    <col min="23" max="23" width="12" customWidth="1"/>
    <col min="24" max="24" width="20" customWidth="1"/>
    <col min="25" max="25" width="30" customWidth="1"/>
    <col min="26" max="26" width="15" customWidth="1"/>
    <col min="27" max="27" width="18" customWidth="1"/>
    <col min="28" max="28" width="30" customWidth="1"/>
  </cols>
  <sheetData>
    <row r="1" spans="1:28" s="3" customFormat="1" x14ac:dyDescent="0.25">
      <c r="A1" s="2" t="s">
        <v>73</v>
      </c>
      <c r="B1" s="2" t="s">
        <v>74</v>
      </c>
      <c r="C1" s="2" t="s">
        <v>75</v>
      </c>
      <c r="D1" s="2" t="s">
        <v>76</v>
      </c>
      <c r="E1" s="2" t="s">
        <v>77</v>
      </c>
      <c r="F1" s="2" t="s">
        <v>78</v>
      </c>
      <c r="G1" s="2" t="s">
        <v>21</v>
      </c>
      <c r="H1" s="2" t="s">
        <v>20</v>
      </c>
      <c r="I1" s="2" t="s">
        <v>79</v>
      </c>
      <c r="J1" s="2" t="s">
        <v>80</v>
      </c>
      <c r="K1" s="2" t="s">
        <v>81</v>
      </c>
      <c r="L1" s="2" t="s">
        <v>82</v>
      </c>
      <c r="M1" s="2" t="s">
        <v>22</v>
      </c>
      <c r="N1" s="2" t="s">
        <v>83</v>
      </c>
      <c r="O1" s="2" t="s">
        <v>84</v>
      </c>
      <c r="P1" s="2" t="s">
        <v>85</v>
      </c>
      <c r="Q1" s="2" t="s">
        <v>86</v>
      </c>
      <c r="R1" s="2" t="s">
        <v>87</v>
      </c>
      <c r="S1" s="2" t="s">
        <v>88</v>
      </c>
      <c r="T1" s="2" t="s">
        <v>89</v>
      </c>
      <c r="U1" s="2" t="s">
        <v>90</v>
      </c>
      <c r="V1" s="2" t="s">
        <v>23</v>
      </c>
      <c r="W1" s="2" t="s">
        <v>91</v>
      </c>
      <c r="X1" s="2" t="s">
        <v>92</v>
      </c>
      <c r="Y1" s="2" t="s">
        <v>93</v>
      </c>
      <c r="Z1" s="2" t="s">
        <v>26</v>
      </c>
      <c r="AA1" s="2" t="s">
        <v>27</v>
      </c>
      <c r="AB1" s="2" t="s">
        <v>94</v>
      </c>
    </row>
    <row r="2" spans="1:28" x14ac:dyDescent="0.25">
      <c r="A2">
        <v>1</v>
      </c>
      <c r="B2" s="4">
        <v>46085</v>
      </c>
      <c r="C2" t="s">
        <v>95</v>
      </c>
      <c r="D2" t="s">
        <v>28</v>
      </c>
      <c r="E2" t="s">
        <v>34</v>
      </c>
      <c r="F2" t="s">
        <v>39</v>
      </c>
      <c r="G2" t="s">
        <v>31</v>
      </c>
      <c r="H2" t="s">
        <v>40</v>
      </c>
      <c r="I2" t="s">
        <v>96</v>
      </c>
      <c r="J2" t="s">
        <v>97</v>
      </c>
      <c r="K2" t="s">
        <v>98</v>
      </c>
      <c r="L2" t="s">
        <v>99</v>
      </c>
      <c r="M2" t="s">
        <v>42</v>
      </c>
      <c r="N2" t="s">
        <v>100</v>
      </c>
      <c r="O2" t="s">
        <v>101</v>
      </c>
      <c r="P2" t="str">
        <f t="shared" ref="P2:P25" si="0">IF(ISBLANK(N2), "", N2&amp;"?utm_source="&amp;LOWER(D2)&amp;"&amp;utm_medium=social&amp;utm_campaign="&amp;O2)</f>
        <v>https://sueste.com/?utm_source=instagram&amp;utm_medium=social&amp;utm_campaign=social_w1</v>
      </c>
      <c r="Q2" t="s">
        <v>102</v>
      </c>
      <c r="R2" t="s">
        <v>103</v>
      </c>
      <c r="S2" t="s">
        <v>104</v>
      </c>
      <c r="T2" t="s">
        <v>105</v>
      </c>
      <c r="U2" s="4">
        <v>46082</v>
      </c>
      <c r="V2" t="s">
        <v>43</v>
      </c>
      <c r="W2" t="s">
        <v>253</v>
      </c>
      <c r="X2" s="5">
        <v>46085.458333333328</v>
      </c>
      <c r="Z2" t="s">
        <v>36</v>
      </c>
      <c r="AA2" t="s">
        <v>37</v>
      </c>
      <c r="AB2" t="s">
        <v>106</v>
      </c>
    </row>
    <row r="3" spans="1:28" x14ac:dyDescent="0.25">
      <c r="A3">
        <v>1</v>
      </c>
      <c r="B3" s="4">
        <v>46088</v>
      </c>
      <c r="C3" t="s">
        <v>107</v>
      </c>
      <c r="D3" t="s">
        <v>28</v>
      </c>
      <c r="E3" t="s">
        <v>53</v>
      </c>
      <c r="F3" t="s">
        <v>29</v>
      </c>
      <c r="G3" t="s">
        <v>41</v>
      </c>
      <c r="H3" t="s">
        <v>40</v>
      </c>
      <c r="I3" t="s">
        <v>108</v>
      </c>
      <c r="J3" t="s">
        <v>109</v>
      </c>
      <c r="K3" t="s">
        <v>110</v>
      </c>
      <c r="L3" t="s">
        <v>111</v>
      </c>
      <c r="M3" t="s">
        <v>32</v>
      </c>
      <c r="N3" t="s">
        <v>100</v>
      </c>
      <c r="O3" t="s">
        <v>101</v>
      </c>
      <c r="P3" t="str">
        <f t="shared" si="0"/>
        <v>https://sueste.com/?utm_source=instagram&amp;utm_medium=social&amp;utm_campaign=social_w1</v>
      </c>
      <c r="Q3" t="s">
        <v>102</v>
      </c>
      <c r="R3" t="s">
        <v>103</v>
      </c>
      <c r="S3" t="s">
        <v>104</v>
      </c>
      <c r="T3" t="s">
        <v>105</v>
      </c>
      <c r="U3" s="4">
        <v>46085</v>
      </c>
      <c r="V3" t="s">
        <v>43</v>
      </c>
      <c r="W3" t="s">
        <v>253</v>
      </c>
      <c r="X3" s="5">
        <v>46088.75</v>
      </c>
      <c r="Z3" t="s">
        <v>41</v>
      </c>
      <c r="AA3" t="s">
        <v>56</v>
      </c>
      <c r="AB3" t="s">
        <v>106</v>
      </c>
    </row>
    <row r="4" spans="1:28" x14ac:dyDescent="0.25">
      <c r="A4">
        <v>2</v>
      </c>
      <c r="B4" s="4">
        <v>46092</v>
      </c>
      <c r="C4" t="s">
        <v>95</v>
      </c>
      <c r="D4" t="s">
        <v>28</v>
      </c>
      <c r="E4" t="s">
        <v>44</v>
      </c>
      <c r="F4" t="s">
        <v>57</v>
      </c>
      <c r="G4" t="s">
        <v>58</v>
      </c>
      <c r="H4" t="s">
        <v>30</v>
      </c>
      <c r="I4" t="s">
        <v>112</v>
      </c>
      <c r="J4" t="s">
        <v>113</v>
      </c>
      <c r="K4" t="s">
        <v>114</v>
      </c>
      <c r="L4" t="s">
        <v>115</v>
      </c>
      <c r="M4" t="s">
        <v>65</v>
      </c>
      <c r="N4" t="s">
        <v>100</v>
      </c>
      <c r="O4" t="s">
        <v>116</v>
      </c>
      <c r="P4" t="str">
        <f t="shared" si="0"/>
        <v>https://sueste.com/?utm_source=instagram&amp;utm_medium=social&amp;utm_campaign=social_w2</v>
      </c>
      <c r="Q4" t="s">
        <v>102</v>
      </c>
      <c r="R4" t="s">
        <v>103</v>
      </c>
      <c r="S4" t="s">
        <v>104</v>
      </c>
      <c r="T4" t="s">
        <v>105</v>
      </c>
      <c r="U4" s="4">
        <v>46089</v>
      </c>
      <c r="V4" t="s">
        <v>43</v>
      </c>
      <c r="W4" t="s">
        <v>253</v>
      </c>
      <c r="X4" s="5">
        <v>46092.4375</v>
      </c>
      <c r="Z4" t="s">
        <v>55</v>
      </c>
      <c r="AA4" t="s">
        <v>46</v>
      </c>
      <c r="AB4" t="s">
        <v>106</v>
      </c>
    </row>
    <row r="5" spans="1:28" x14ac:dyDescent="0.25">
      <c r="A5">
        <v>2</v>
      </c>
      <c r="B5" s="4">
        <v>46095</v>
      </c>
      <c r="C5" t="s">
        <v>107</v>
      </c>
      <c r="D5" t="s">
        <v>28</v>
      </c>
      <c r="E5" t="s">
        <v>67</v>
      </c>
      <c r="F5" t="s">
        <v>48</v>
      </c>
      <c r="G5" t="s">
        <v>41</v>
      </c>
      <c r="H5" t="s">
        <v>49</v>
      </c>
      <c r="I5" t="s">
        <v>117</v>
      </c>
      <c r="J5" t="s">
        <v>118</v>
      </c>
      <c r="K5" t="s">
        <v>119</v>
      </c>
      <c r="L5" t="s">
        <v>120</v>
      </c>
      <c r="M5" t="s">
        <v>59</v>
      </c>
      <c r="N5" t="s">
        <v>100</v>
      </c>
      <c r="O5" t="s">
        <v>116</v>
      </c>
      <c r="P5" t="str">
        <f t="shared" si="0"/>
        <v>https://sueste.com/?utm_source=instagram&amp;utm_medium=social&amp;utm_campaign=social_w2</v>
      </c>
      <c r="Q5" t="s">
        <v>102</v>
      </c>
      <c r="R5" t="s">
        <v>103</v>
      </c>
      <c r="S5" t="s">
        <v>104</v>
      </c>
      <c r="T5" t="s">
        <v>105</v>
      </c>
      <c r="U5" s="4">
        <v>46092</v>
      </c>
      <c r="V5" t="s">
        <v>43</v>
      </c>
      <c r="W5" t="s">
        <v>253</v>
      </c>
      <c r="X5" s="5">
        <v>46095.583333333328</v>
      </c>
      <c r="Z5" t="s">
        <v>41</v>
      </c>
      <c r="AA5" t="s">
        <v>63</v>
      </c>
      <c r="AB5" t="s">
        <v>106</v>
      </c>
    </row>
    <row r="6" spans="1:28" x14ac:dyDescent="0.25">
      <c r="A6">
        <v>3</v>
      </c>
      <c r="B6" s="4">
        <v>46099</v>
      </c>
      <c r="C6" t="s">
        <v>95</v>
      </c>
      <c r="D6" t="s">
        <v>28</v>
      </c>
      <c r="E6" t="s">
        <v>69</v>
      </c>
      <c r="F6" t="s">
        <v>64</v>
      </c>
      <c r="G6" t="s">
        <v>50</v>
      </c>
      <c r="H6" t="s">
        <v>40</v>
      </c>
      <c r="I6" t="s">
        <v>121</v>
      </c>
      <c r="J6" t="s">
        <v>122</v>
      </c>
      <c r="K6" t="s">
        <v>123</v>
      </c>
      <c r="L6" t="s">
        <v>124</v>
      </c>
      <c r="M6" t="s">
        <v>42</v>
      </c>
      <c r="N6" t="s">
        <v>100</v>
      </c>
      <c r="O6" t="s">
        <v>125</v>
      </c>
      <c r="P6" t="str">
        <f t="shared" si="0"/>
        <v>https://sueste.com/?utm_source=instagram&amp;utm_medium=social&amp;utm_campaign=social_w3</v>
      </c>
      <c r="Q6" t="s">
        <v>102</v>
      </c>
      <c r="R6" t="s">
        <v>103</v>
      </c>
      <c r="S6" t="s">
        <v>104</v>
      </c>
      <c r="T6" t="s">
        <v>105</v>
      </c>
      <c r="U6" s="4">
        <v>46096</v>
      </c>
      <c r="V6" t="s">
        <v>43</v>
      </c>
      <c r="W6" t="s">
        <v>253</v>
      </c>
      <c r="X6" s="5">
        <v>46099.729166666672</v>
      </c>
      <c r="Z6" t="s">
        <v>55</v>
      </c>
      <c r="AA6" t="s">
        <v>37</v>
      </c>
      <c r="AB6" t="s">
        <v>106</v>
      </c>
    </row>
    <row r="7" spans="1:28" x14ac:dyDescent="0.25">
      <c r="A7">
        <v>3</v>
      </c>
      <c r="B7" s="4">
        <v>46102</v>
      </c>
      <c r="C7" t="s">
        <v>107</v>
      </c>
      <c r="D7" t="s">
        <v>28</v>
      </c>
      <c r="E7" t="s">
        <v>71</v>
      </c>
      <c r="F7" t="s">
        <v>39</v>
      </c>
      <c r="G7" t="s">
        <v>58</v>
      </c>
      <c r="H7" t="s">
        <v>30</v>
      </c>
      <c r="I7" t="s">
        <v>126</v>
      </c>
      <c r="J7" t="s">
        <v>127</v>
      </c>
      <c r="K7" t="s">
        <v>128</v>
      </c>
      <c r="L7" t="s">
        <v>129</v>
      </c>
      <c r="M7" t="s">
        <v>65</v>
      </c>
      <c r="N7" t="s">
        <v>100</v>
      </c>
      <c r="O7" t="s">
        <v>125</v>
      </c>
      <c r="P7" t="str">
        <f t="shared" si="0"/>
        <v>https://sueste.com/?utm_source=instagram&amp;utm_medium=social&amp;utm_campaign=social_w3</v>
      </c>
      <c r="Q7" t="s">
        <v>102</v>
      </c>
      <c r="R7" t="s">
        <v>103</v>
      </c>
      <c r="S7" t="s">
        <v>104</v>
      </c>
      <c r="T7" t="s">
        <v>105</v>
      </c>
      <c r="U7" s="4">
        <v>46099</v>
      </c>
      <c r="V7" t="s">
        <v>43</v>
      </c>
      <c r="W7" t="s">
        <v>253</v>
      </c>
      <c r="X7" s="5">
        <v>46102.375</v>
      </c>
      <c r="Z7" t="s">
        <v>55</v>
      </c>
      <c r="AA7" t="s">
        <v>46</v>
      </c>
      <c r="AB7" t="s">
        <v>106</v>
      </c>
    </row>
    <row r="8" spans="1:28" x14ac:dyDescent="0.25">
      <c r="A8">
        <v>4</v>
      </c>
      <c r="B8" s="4">
        <v>46106</v>
      </c>
      <c r="C8" t="s">
        <v>95</v>
      </c>
      <c r="D8" t="s">
        <v>28</v>
      </c>
      <c r="E8" t="s">
        <v>61</v>
      </c>
      <c r="F8" t="s">
        <v>29</v>
      </c>
      <c r="G8" t="s">
        <v>31</v>
      </c>
      <c r="H8" t="s">
        <v>40</v>
      </c>
      <c r="I8" t="s">
        <v>130</v>
      </c>
      <c r="J8" t="s">
        <v>131</v>
      </c>
      <c r="K8" t="s">
        <v>132</v>
      </c>
      <c r="L8" t="s">
        <v>133</v>
      </c>
      <c r="M8" t="s">
        <v>51</v>
      </c>
      <c r="N8" t="s">
        <v>100</v>
      </c>
      <c r="O8" t="s">
        <v>134</v>
      </c>
      <c r="P8" t="str">
        <f t="shared" si="0"/>
        <v>https://sueste.com/?utm_source=instagram&amp;utm_medium=social&amp;utm_campaign=social_w4</v>
      </c>
      <c r="Q8" t="s">
        <v>102</v>
      </c>
      <c r="R8" t="s">
        <v>103</v>
      </c>
      <c r="S8" t="s">
        <v>104</v>
      </c>
      <c r="T8" t="s">
        <v>105</v>
      </c>
      <c r="U8" s="4">
        <v>46103</v>
      </c>
      <c r="V8" t="s">
        <v>43</v>
      </c>
      <c r="W8" t="s">
        <v>253</v>
      </c>
      <c r="X8" s="5">
        <v>46106.791666666672</v>
      </c>
      <c r="Z8" t="s">
        <v>36</v>
      </c>
      <c r="AA8" t="s">
        <v>37</v>
      </c>
      <c r="AB8" t="s">
        <v>106</v>
      </c>
    </row>
    <row r="9" spans="1:28" x14ac:dyDescent="0.25">
      <c r="A9">
        <v>4</v>
      </c>
      <c r="B9" s="4">
        <v>46109</v>
      </c>
      <c r="C9" t="s">
        <v>107</v>
      </c>
      <c r="D9" t="s">
        <v>28</v>
      </c>
      <c r="E9" t="s">
        <v>34</v>
      </c>
      <c r="F9" t="s">
        <v>39</v>
      </c>
      <c r="G9" t="s">
        <v>31</v>
      </c>
      <c r="H9" t="s">
        <v>40</v>
      </c>
      <c r="I9" t="s">
        <v>96</v>
      </c>
      <c r="J9" t="s">
        <v>97</v>
      </c>
      <c r="K9" t="s">
        <v>98</v>
      </c>
      <c r="L9" t="s">
        <v>99</v>
      </c>
      <c r="M9" t="s">
        <v>42</v>
      </c>
      <c r="N9" t="s">
        <v>100</v>
      </c>
      <c r="O9" t="s">
        <v>134</v>
      </c>
      <c r="P9" t="str">
        <f t="shared" si="0"/>
        <v>https://sueste.com/?utm_source=instagram&amp;utm_medium=social&amp;utm_campaign=social_w4</v>
      </c>
      <c r="Q9" t="s">
        <v>102</v>
      </c>
      <c r="R9" t="s">
        <v>103</v>
      </c>
      <c r="S9" t="s">
        <v>104</v>
      </c>
      <c r="T9" t="s">
        <v>105</v>
      </c>
      <c r="U9" s="4">
        <v>46106</v>
      </c>
      <c r="V9" t="s">
        <v>43</v>
      </c>
      <c r="W9" t="s">
        <v>253</v>
      </c>
      <c r="X9" s="5">
        <v>46109.458333333328</v>
      </c>
      <c r="Z9" t="s">
        <v>36</v>
      </c>
      <c r="AA9" t="s">
        <v>37</v>
      </c>
      <c r="AB9" t="s">
        <v>106</v>
      </c>
    </row>
    <row r="10" spans="1:28" x14ac:dyDescent="0.25">
      <c r="A10">
        <v>5</v>
      </c>
      <c r="B10" s="4">
        <v>46112.958333333328</v>
      </c>
      <c r="C10" t="s">
        <v>95</v>
      </c>
      <c r="D10" t="s">
        <v>28</v>
      </c>
      <c r="E10" t="s">
        <v>53</v>
      </c>
      <c r="F10" t="s">
        <v>29</v>
      </c>
      <c r="G10" t="s">
        <v>41</v>
      </c>
      <c r="H10" t="s">
        <v>40</v>
      </c>
      <c r="I10" t="s">
        <v>108</v>
      </c>
      <c r="J10" t="s">
        <v>109</v>
      </c>
      <c r="K10" t="s">
        <v>110</v>
      </c>
      <c r="L10" t="s">
        <v>111</v>
      </c>
      <c r="M10" t="s">
        <v>32</v>
      </c>
      <c r="N10" t="s">
        <v>100</v>
      </c>
      <c r="O10" t="s">
        <v>135</v>
      </c>
      <c r="P10" t="str">
        <f t="shared" si="0"/>
        <v>https://sueste.com/?utm_source=instagram&amp;utm_medium=social&amp;utm_campaign=social_w5</v>
      </c>
      <c r="Q10" t="s">
        <v>102</v>
      </c>
      <c r="R10" t="s">
        <v>103</v>
      </c>
      <c r="S10" t="s">
        <v>104</v>
      </c>
      <c r="T10" t="s">
        <v>105</v>
      </c>
      <c r="U10" s="4">
        <v>46110</v>
      </c>
      <c r="V10" t="s">
        <v>43</v>
      </c>
      <c r="W10" t="s">
        <v>253</v>
      </c>
      <c r="X10" s="5">
        <v>46113.708333333328</v>
      </c>
      <c r="Z10" t="s">
        <v>41</v>
      </c>
      <c r="AA10" t="s">
        <v>56</v>
      </c>
      <c r="AB10" t="s">
        <v>106</v>
      </c>
    </row>
    <row r="11" spans="1:28" x14ac:dyDescent="0.25">
      <c r="A11">
        <v>5</v>
      </c>
      <c r="B11" s="4">
        <v>46115.958333333328</v>
      </c>
      <c r="C11" t="s">
        <v>107</v>
      </c>
      <c r="D11" t="s">
        <v>28</v>
      </c>
      <c r="E11" t="s">
        <v>44</v>
      </c>
      <c r="F11" t="s">
        <v>57</v>
      </c>
      <c r="G11" t="s">
        <v>58</v>
      </c>
      <c r="H11" t="s">
        <v>30</v>
      </c>
      <c r="I11" t="s">
        <v>112</v>
      </c>
      <c r="J11" t="s">
        <v>113</v>
      </c>
      <c r="K11" t="s">
        <v>114</v>
      </c>
      <c r="L11" t="s">
        <v>115</v>
      </c>
      <c r="M11" t="s">
        <v>65</v>
      </c>
      <c r="N11" t="s">
        <v>100</v>
      </c>
      <c r="O11" t="s">
        <v>135</v>
      </c>
      <c r="P11" t="str">
        <f t="shared" si="0"/>
        <v>https://sueste.com/?utm_source=instagram&amp;utm_medium=social&amp;utm_campaign=social_w5</v>
      </c>
      <c r="Q11" t="s">
        <v>102</v>
      </c>
      <c r="R11" t="s">
        <v>103</v>
      </c>
      <c r="S11" t="s">
        <v>104</v>
      </c>
      <c r="T11" t="s">
        <v>105</v>
      </c>
      <c r="U11" s="4">
        <v>46112.958333333328</v>
      </c>
      <c r="V11" t="s">
        <v>43</v>
      </c>
      <c r="W11" t="s">
        <v>253</v>
      </c>
      <c r="X11" s="5">
        <v>46116.395833333328</v>
      </c>
      <c r="Z11" t="s">
        <v>55</v>
      </c>
      <c r="AA11" t="s">
        <v>46</v>
      </c>
      <c r="AB11" t="s">
        <v>106</v>
      </c>
    </row>
    <row r="12" spans="1:28" x14ac:dyDescent="0.25">
      <c r="A12">
        <v>6</v>
      </c>
      <c r="B12" s="4">
        <v>46119.958333333328</v>
      </c>
      <c r="C12" t="s">
        <v>95</v>
      </c>
      <c r="D12" t="s">
        <v>28</v>
      </c>
      <c r="E12" t="s">
        <v>67</v>
      </c>
      <c r="F12" t="s">
        <v>48</v>
      </c>
      <c r="G12" t="s">
        <v>41</v>
      </c>
      <c r="H12" t="s">
        <v>49</v>
      </c>
      <c r="I12" t="s">
        <v>117</v>
      </c>
      <c r="J12" t="s">
        <v>118</v>
      </c>
      <c r="K12" t="s">
        <v>119</v>
      </c>
      <c r="L12" t="s">
        <v>120</v>
      </c>
      <c r="M12" t="s">
        <v>59</v>
      </c>
      <c r="N12" t="s">
        <v>100</v>
      </c>
      <c r="O12" t="s">
        <v>136</v>
      </c>
      <c r="P12" t="str">
        <f t="shared" si="0"/>
        <v>https://sueste.com/?utm_source=instagram&amp;utm_medium=social&amp;utm_campaign=social_w6</v>
      </c>
      <c r="Q12" t="s">
        <v>102</v>
      </c>
      <c r="R12" t="s">
        <v>103</v>
      </c>
      <c r="S12" t="s">
        <v>104</v>
      </c>
      <c r="T12" t="s">
        <v>105</v>
      </c>
      <c r="U12" s="4">
        <v>46116.958333333328</v>
      </c>
      <c r="V12" t="s">
        <v>43</v>
      </c>
      <c r="W12" t="s">
        <v>253</v>
      </c>
      <c r="X12" s="5">
        <v>46120.541666666672</v>
      </c>
      <c r="Z12" t="s">
        <v>41</v>
      </c>
      <c r="AA12" t="s">
        <v>63</v>
      </c>
      <c r="AB12" t="s">
        <v>106</v>
      </c>
    </row>
    <row r="13" spans="1:28" x14ac:dyDescent="0.25">
      <c r="A13">
        <v>6</v>
      </c>
      <c r="B13" s="4">
        <v>46122.958333333328</v>
      </c>
      <c r="C13" t="s">
        <v>107</v>
      </c>
      <c r="D13" t="s">
        <v>28</v>
      </c>
      <c r="E13" t="s">
        <v>69</v>
      </c>
      <c r="F13" t="s">
        <v>64</v>
      </c>
      <c r="G13" t="s">
        <v>50</v>
      </c>
      <c r="H13" t="s">
        <v>40</v>
      </c>
      <c r="I13" t="s">
        <v>121</v>
      </c>
      <c r="J13" t="s">
        <v>122</v>
      </c>
      <c r="K13" t="s">
        <v>123</v>
      </c>
      <c r="L13" t="s">
        <v>124</v>
      </c>
      <c r="M13" t="s">
        <v>42</v>
      </c>
      <c r="N13" t="s">
        <v>100</v>
      </c>
      <c r="O13" t="s">
        <v>136</v>
      </c>
      <c r="P13" t="str">
        <f t="shared" si="0"/>
        <v>https://sueste.com/?utm_source=instagram&amp;utm_medium=social&amp;utm_campaign=social_w6</v>
      </c>
      <c r="Q13" t="s">
        <v>102</v>
      </c>
      <c r="R13" t="s">
        <v>103</v>
      </c>
      <c r="S13" t="s">
        <v>104</v>
      </c>
      <c r="T13" t="s">
        <v>105</v>
      </c>
      <c r="U13" s="4">
        <v>46119.958333333328</v>
      </c>
      <c r="V13" t="s">
        <v>43</v>
      </c>
      <c r="W13" t="s">
        <v>253</v>
      </c>
      <c r="X13" s="5">
        <v>46123.6875</v>
      </c>
      <c r="Z13" t="s">
        <v>55</v>
      </c>
      <c r="AA13" t="s">
        <v>37</v>
      </c>
      <c r="AB13" t="s">
        <v>106</v>
      </c>
    </row>
    <row r="14" spans="1:28" x14ac:dyDescent="0.25">
      <c r="A14">
        <v>7</v>
      </c>
      <c r="B14" s="4">
        <v>46126.958333333328</v>
      </c>
      <c r="C14" t="s">
        <v>95</v>
      </c>
      <c r="D14" t="s">
        <v>28</v>
      </c>
      <c r="E14" t="s">
        <v>71</v>
      </c>
      <c r="F14" t="s">
        <v>39</v>
      </c>
      <c r="G14" t="s">
        <v>58</v>
      </c>
      <c r="H14" t="s">
        <v>30</v>
      </c>
      <c r="I14" t="s">
        <v>126</v>
      </c>
      <c r="J14" t="s">
        <v>127</v>
      </c>
      <c r="K14" t="s">
        <v>128</v>
      </c>
      <c r="L14" t="s">
        <v>129</v>
      </c>
      <c r="M14" t="s">
        <v>65</v>
      </c>
      <c r="N14" t="s">
        <v>100</v>
      </c>
      <c r="O14" t="s">
        <v>137</v>
      </c>
      <c r="P14" t="str">
        <f t="shared" si="0"/>
        <v>https://sueste.com/?utm_source=instagram&amp;utm_medium=social&amp;utm_campaign=social_w7</v>
      </c>
      <c r="Q14" t="s">
        <v>102</v>
      </c>
      <c r="R14" t="s">
        <v>103</v>
      </c>
      <c r="S14" t="s">
        <v>104</v>
      </c>
      <c r="T14" t="s">
        <v>105</v>
      </c>
      <c r="U14" s="4">
        <v>46123.958333333328</v>
      </c>
      <c r="V14" t="s">
        <v>43</v>
      </c>
      <c r="W14" t="s">
        <v>253</v>
      </c>
      <c r="X14" s="5">
        <v>46127.333333333328</v>
      </c>
      <c r="Z14" t="s">
        <v>55</v>
      </c>
      <c r="AA14" t="s">
        <v>46</v>
      </c>
      <c r="AB14" t="s">
        <v>106</v>
      </c>
    </row>
    <row r="15" spans="1:28" x14ac:dyDescent="0.25">
      <c r="A15">
        <v>7</v>
      </c>
      <c r="B15" s="4">
        <v>46129.958333333328</v>
      </c>
      <c r="C15" t="s">
        <v>107</v>
      </c>
      <c r="D15" t="s">
        <v>28</v>
      </c>
      <c r="E15" t="s">
        <v>61</v>
      </c>
      <c r="F15" t="s">
        <v>29</v>
      </c>
      <c r="G15" t="s">
        <v>31</v>
      </c>
      <c r="H15" t="s">
        <v>40</v>
      </c>
      <c r="I15" t="s">
        <v>130</v>
      </c>
      <c r="J15" t="s">
        <v>131</v>
      </c>
      <c r="K15" t="s">
        <v>132</v>
      </c>
      <c r="L15" t="s">
        <v>133</v>
      </c>
      <c r="M15" t="s">
        <v>51</v>
      </c>
      <c r="N15" t="s">
        <v>100</v>
      </c>
      <c r="O15" t="s">
        <v>137</v>
      </c>
      <c r="P15" t="str">
        <f t="shared" si="0"/>
        <v>https://sueste.com/?utm_source=instagram&amp;utm_medium=social&amp;utm_campaign=social_w7</v>
      </c>
      <c r="Q15" t="s">
        <v>102</v>
      </c>
      <c r="R15" t="s">
        <v>103</v>
      </c>
      <c r="S15" t="s">
        <v>104</v>
      </c>
      <c r="T15" t="s">
        <v>105</v>
      </c>
      <c r="U15" s="4">
        <v>46126.958333333328</v>
      </c>
      <c r="V15" t="s">
        <v>43</v>
      </c>
      <c r="W15" t="s">
        <v>253</v>
      </c>
      <c r="X15" s="5">
        <v>46130.75</v>
      </c>
      <c r="Z15" t="s">
        <v>36</v>
      </c>
      <c r="AA15" t="s">
        <v>37</v>
      </c>
      <c r="AB15" t="s">
        <v>106</v>
      </c>
    </row>
    <row r="16" spans="1:28" x14ac:dyDescent="0.25">
      <c r="A16">
        <v>8</v>
      </c>
      <c r="B16" s="4">
        <v>46133.958333333328</v>
      </c>
      <c r="C16" t="s">
        <v>95</v>
      </c>
      <c r="D16" t="s">
        <v>28</v>
      </c>
      <c r="E16" t="s">
        <v>34</v>
      </c>
      <c r="F16" t="s">
        <v>39</v>
      </c>
      <c r="G16" t="s">
        <v>31</v>
      </c>
      <c r="H16" t="s">
        <v>40</v>
      </c>
      <c r="I16" t="s">
        <v>96</v>
      </c>
      <c r="J16" t="s">
        <v>97</v>
      </c>
      <c r="K16" t="s">
        <v>98</v>
      </c>
      <c r="L16" t="s">
        <v>99</v>
      </c>
      <c r="M16" t="s">
        <v>42</v>
      </c>
      <c r="N16" t="s">
        <v>100</v>
      </c>
      <c r="O16" t="s">
        <v>138</v>
      </c>
      <c r="P16" t="str">
        <f t="shared" si="0"/>
        <v>https://sueste.com/?utm_source=instagram&amp;utm_medium=social&amp;utm_campaign=social_w8</v>
      </c>
      <c r="Q16" t="s">
        <v>102</v>
      </c>
      <c r="R16" t="s">
        <v>103</v>
      </c>
      <c r="S16" t="s">
        <v>104</v>
      </c>
      <c r="T16" t="s">
        <v>105</v>
      </c>
      <c r="U16" s="4">
        <v>46130.958333333328</v>
      </c>
      <c r="V16" t="s">
        <v>43</v>
      </c>
      <c r="W16" t="s">
        <v>253</v>
      </c>
      <c r="X16" s="5">
        <v>46134.416666666672</v>
      </c>
      <c r="Z16" t="s">
        <v>36</v>
      </c>
      <c r="AA16" t="s">
        <v>37</v>
      </c>
      <c r="AB16" t="s">
        <v>106</v>
      </c>
    </row>
    <row r="17" spans="1:28" x14ac:dyDescent="0.25">
      <c r="A17">
        <v>8</v>
      </c>
      <c r="B17" s="4">
        <v>46136.958333333328</v>
      </c>
      <c r="C17" t="s">
        <v>107</v>
      </c>
      <c r="D17" t="s">
        <v>28</v>
      </c>
      <c r="E17" t="s">
        <v>53</v>
      </c>
      <c r="F17" t="s">
        <v>29</v>
      </c>
      <c r="G17" t="s">
        <v>41</v>
      </c>
      <c r="H17" t="s">
        <v>40</v>
      </c>
      <c r="I17" t="s">
        <v>108</v>
      </c>
      <c r="J17" t="s">
        <v>109</v>
      </c>
      <c r="K17" t="s">
        <v>110</v>
      </c>
      <c r="L17" t="s">
        <v>111</v>
      </c>
      <c r="M17" t="s">
        <v>32</v>
      </c>
      <c r="N17" t="s">
        <v>100</v>
      </c>
      <c r="O17" t="s">
        <v>138</v>
      </c>
      <c r="P17" t="str">
        <f t="shared" si="0"/>
        <v>https://sueste.com/?utm_source=instagram&amp;utm_medium=social&amp;utm_campaign=social_w8</v>
      </c>
      <c r="Q17" t="s">
        <v>102</v>
      </c>
      <c r="R17" t="s">
        <v>103</v>
      </c>
      <c r="S17" t="s">
        <v>104</v>
      </c>
      <c r="T17" t="s">
        <v>105</v>
      </c>
      <c r="U17" s="4">
        <v>46133.958333333328</v>
      </c>
      <c r="V17" t="s">
        <v>43</v>
      </c>
      <c r="W17" t="s">
        <v>253</v>
      </c>
      <c r="X17" s="5">
        <v>46137.708333333328</v>
      </c>
      <c r="Z17" t="s">
        <v>41</v>
      </c>
      <c r="AA17" t="s">
        <v>56</v>
      </c>
      <c r="AB17" t="s">
        <v>106</v>
      </c>
    </row>
    <row r="18" spans="1:28" x14ac:dyDescent="0.25">
      <c r="A18">
        <v>9</v>
      </c>
      <c r="B18" s="4">
        <v>46140.958333333328</v>
      </c>
      <c r="C18" t="s">
        <v>95</v>
      </c>
      <c r="D18" t="s">
        <v>28</v>
      </c>
      <c r="E18" t="s">
        <v>44</v>
      </c>
      <c r="F18" t="s">
        <v>57</v>
      </c>
      <c r="G18" t="s">
        <v>58</v>
      </c>
      <c r="H18" t="s">
        <v>30</v>
      </c>
      <c r="I18" t="s">
        <v>112</v>
      </c>
      <c r="J18" t="s">
        <v>113</v>
      </c>
      <c r="K18" t="s">
        <v>114</v>
      </c>
      <c r="L18" t="s">
        <v>115</v>
      </c>
      <c r="M18" t="s">
        <v>65</v>
      </c>
      <c r="N18" t="s">
        <v>100</v>
      </c>
      <c r="O18" t="s">
        <v>139</v>
      </c>
      <c r="P18" t="str">
        <f t="shared" si="0"/>
        <v>https://sueste.com/?utm_source=instagram&amp;utm_medium=social&amp;utm_campaign=social_w9</v>
      </c>
      <c r="Q18" t="s">
        <v>102</v>
      </c>
      <c r="R18" t="s">
        <v>103</v>
      </c>
      <c r="S18" t="s">
        <v>104</v>
      </c>
      <c r="T18" t="s">
        <v>105</v>
      </c>
      <c r="U18" s="4">
        <v>46137.958333333328</v>
      </c>
      <c r="V18" t="s">
        <v>43</v>
      </c>
      <c r="W18" t="s">
        <v>253</v>
      </c>
      <c r="X18" s="5">
        <v>46141.395833333328</v>
      </c>
      <c r="Z18" t="s">
        <v>55</v>
      </c>
      <c r="AA18" t="s">
        <v>46</v>
      </c>
      <c r="AB18" t="s">
        <v>106</v>
      </c>
    </row>
    <row r="19" spans="1:28" x14ac:dyDescent="0.25">
      <c r="A19">
        <v>9</v>
      </c>
      <c r="B19" s="4">
        <v>46143.958333333328</v>
      </c>
      <c r="C19" t="s">
        <v>107</v>
      </c>
      <c r="D19" t="s">
        <v>28</v>
      </c>
      <c r="E19" t="s">
        <v>67</v>
      </c>
      <c r="F19" t="s">
        <v>48</v>
      </c>
      <c r="G19" t="s">
        <v>41</v>
      </c>
      <c r="H19" t="s">
        <v>49</v>
      </c>
      <c r="I19" t="s">
        <v>117</v>
      </c>
      <c r="J19" t="s">
        <v>118</v>
      </c>
      <c r="K19" t="s">
        <v>119</v>
      </c>
      <c r="L19" t="s">
        <v>120</v>
      </c>
      <c r="M19" t="s">
        <v>59</v>
      </c>
      <c r="N19" t="s">
        <v>100</v>
      </c>
      <c r="O19" t="s">
        <v>139</v>
      </c>
      <c r="P19" t="str">
        <f t="shared" si="0"/>
        <v>https://sueste.com/?utm_source=instagram&amp;utm_medium=social&amp;utm_campaign=social_w9</v>
      </c>
      <c r="Q19" t="s">
        <v>102</v>
      </c>
      <c r="R19" t="s">
        <v>103</v>
      </c>
      <c r="S19" t="s">
        <v>104</v>
      </c>
      <c r="T19" t="s">
        <v>105</v>
      </c>
      <c r="U19" s="4">
        <v>46140.958333333328</v>
      </c>
      <c r="V19" t="s">
        <v>43</v>
      </c>
      <c r="W19" t="s">
        <v>253</v>
      </c>
      <c r="X19" s="5">
        <v>46144.541666666672</v>
      </c>
      <c r="Z19" t="s">
        <v>41</v>
      </c>
      <c r="AA19" t="s">
        <v>63</v>
      </c>
      <c r="AB19" t="s">
        <v>106</v>
      </c>
    </row>
    <row r="20" spans="1:28" x14ac:dyDescent="0.25">
      <c r="A20">
        <v>10</v>
      </c>
      <c r="B20" s="4">
        <v>46147.958333333328</v>
      </c>
      <c r="C20" t="s">
        <v>95</v>
      </c>
      <c r="D20" t="s">
        <v>28</v>
      </c>
      <c r="E20" t="s">
        <v>69</v>
      </c>
      <c r="F20" t="s">
        <v>64</v>
      </c>
      <c r="G20" t="s">
        <v>50</v>
      </c>
      <c r="H20" t="s">
        <v>40</v>
      </c>
      <c r="I20" t="s">
        <v>121</v>
      </c>
      <c r="J20" t="s">
        <v>122</v>
      </c>
      <c r="K20" t="s">
        <v>123</v>
      </c>
      <c r="L20" t="s">
        <v>124</v>
      </c>
      <c r="M20" t="s">
        <v>42</v>
      </c>
      <c r="N20" t="s">
        <v>100</v>
      </c>
      <c r="O20" t="s">
        <v>140</v>
      </c>
      <c r="P20" t="str">
        <f t="shared" si="0"/>
        <v>https://sueste.com/?utm_source=instagram&amp;utm_medium=social&amp;utm_campaign=social_w10</v>
      </c>
      <c r="Q20" t="s">
        <v>102</v>
      </c>
      <c r="R20" t="s">
        <v>103</v>
      </c>
      <c r="S20" t="s">
        <v>104</v>
      </c>
      <c r="T20" t="s">
        <v>105</v>
      </c>
      <c r="U20" s="4">
        <v>46144.958333333328</v>
      </c>
      <c r="V20" t="s">
        <v>43</v>
      </c>
      <c r="W20" t="s">
        <v>253</v>
      </c>
      <c r="X20" s="5">
        <v>46148.6875</v>
      </c>
      <c r="Z20" t="s">
        <v>55</v>
      </c>
      <c r="AA20" t="s">
        <v>37</v>
      </c>
      <c r="AB20" t="s">
        <v>106</v>
      </c>
    </row>
    <row r="21" spans="1:28" x14ac:dyDescent="0.25">
      <c r="A21">
        <v>10</v>
      </c>
      <c r="B21" s="4">
        <v>46150.958333333328</v>
      </c>
      <c r="C21" t="s">
        <v>107</v>
      </c>
      <c r="D21" t="s">
        <v>28</v>
      </c>
      <c r="E21" t="s">
        <v>71</v>
      </c>
      <c r="F21" t="s">
        <v>39</v>
      </c>
      <c r="G21" t="s">
        <v>58</v>
      </c>
      <c r="H21" t="s">
        <v>30</v>
      </c>
      <c r="I21" t="s">
        <v>126</v>
      </c>
      <c r="J21" t="s">
        <v>127</v>
      </c>
      <c r="K21" t="s">
        <v>128</v>
      </c>
      <c r="L21" t="s">
        <v>129</v>
      </c>
      <c r="M21" t="s">
        <v>65</v>
      </c>
      <c r="N21" t="s">
        <v>100</v>
      </c>
      <c r="O21" t="s">
        <v>140</v>
      </c>
      <c r="P21" t="str">
        <f t="shared" si="0"/>
        <v>https://sueste.com/?utm_source=instagram&amp;utm_medium=social&amp;utm_campaign=social_w10</v>
      </c>
      <c r="Q21" t="s">
        <v>102</v>
      </c>
      <c r="R21" t="s">
        <v>103</v>
      </c>
      <c r="S21" t="s">
        <v>104</v>
      </c>
      <c r="T21" t="s">
        <v>105</v>
      </c>
      <c r="U21" s="4">
        <v>46147.958333333328</v>
      </c>
      <c r="V21" t="s">
        <v>43</v>
      </c>
      <c r="W21" t="s">
        <v>253</v>
      </c>
      <c r="X21" s="5">
        <v>46151.333333333328</v>
      </c>
      <c r="Z21" t="s">
        <v>55</v>
      </c>
      <c r="AA21" t="s">
        <v>46</v>
      </c>
      <c r="AB21" t="s">
        <v>106</v>
      </c>
    </row>
    <row r="22" spans="1:28" x14ac:dyDescent="0.25">
      <c r="A22">
        <v>11</v>
      </c>
      <c r="B22" s="4">
        <v>46154.958333333328</v>
      </c>
      <c r="C22" t="s">
        <v>95</v>
      </c>
      <c r="D22" t="s">
        <v>28</v>
      </c>
      <c r="E22" t="s">
        <v>61</v>
      </c>
      <c r="F22" t="s">
        <v>29</v>
      </c>
      <c r="G22" t="s">
        <v>31</v>
      </c>
      <c r="H22" t="s">
        <v>40</v>
      </c>
      <c r="I22" t="s">
        <v>130</v>
      </c>
      <c r="J22" t="s">
        <v>131</v>
      </c>
      <c r="K22" t="s">
        <v>132</v>
      </c>
      <c r="L22" t="s">
        <v>133</v>
      </c>
      <c r="M22" t="s">
        <v>51</v>
      </c>
      <c r="N22" t="s">
        <v>100</v>
      </c>
      <c r="O22" t="s">
        <v>141</v>
      </c>
      <c r="P22" t="str">
        <f t="shared" si="0"/>
        <v>https://sueste.com/?utm_source=instagram&amp;utm_medium=social&amp;utm_campaign=social_w11</v>
      </c>
      <c r="Q22" t="s">
        <v>102</v>
      </c>
      <c r="R22" t="s">
        <v>103</v>
      </c>
      <c r="S22" t="s">
        <v>104</v>
      </c>
      <c r="T22" t="s">
        <v>105</v>
      </c>
      <c r="U22" s="4">
        <v>46151.958333333328</v>
      </c>
      <c r="V22" t="s">
        <v>43</v>
      </c>
      <c r="W22" t="s">
        <v>253</v>
      </c>
      <c r="X22" s="5">
        <v>46155.75</v>
      </c>
      <c r="Z22" t="s">
        <v>36</v>
      </c>
      <c r="AA22" t="s">
        <v>37</v>
      </c>
      <c r="AB22" t="s">
        <v>106</v>
      </c>
    </row>
    <row r="23" spans="1:28" x14ac:dyDescent="0.25">
      <c r="A23">
        <v>11</v>
      </c>
      <c r="B23" s="4">
        <v>46157.958333333328</v>
      </c>
      <c r="C23" t="s">
        <v>107</v>
      </c>
      <c r="D23" t="s">
        <v>28</v>
      </c>
      <c r="E23" t="s">
        <v>34</v>
      </c>
      <c r="F23" t="s">
        <v>39</v>
      </c>
      <c r="G23" t="s">
        <v>31</v>
      </c>
      <c r="H23" t="s">
        <v>40</v>
      </c>
      <c r="I23" t="s">
        <v>96</v>
      </c>
      <c r="J23" t="s">
        <v>97</v>
      </c>
      <c r="K23" t="s">
        <v>98</v>
      </c>
      <c r="L23" t="s">
        <v>99</v>
      </c>
      <c r="M23" t="s">
        <v>42</v>
      </c>
      <c r="N23" t="s">
        <v>100</v>
      </c>
      <c r="O23" t="s">
        <v>141</v>
      </c>
      <c r="P23" t="str">
        <f t="shared" si="0"/>
        <v>https://sueste.com/?utm_source=instagram&amp;utm_medium=social&amp;utm_campaign=social_w11</v>
      </c>
      <c r="Q23" t="s">
        <v>102</v>
      </c>
      <c r="R23" t="s">
        <v>103</v>
      </c>
      <c r="S23" t="s">
        <v>104</v>
      </c>
      <c r="T23" t="s">
        <v>105</v>
      </c>
      <c r="U23" s="4">
        <v>46154.958333333328</v>
      </c>
      <c r="V23" t="s">
        <v>43</v>
      </c>
      <c r="W23" t="s">
        <v>253</v>
      </c>
      <c r="X23" s="5">
        <v>46158.416666666672</v>
      </c>
      <c r="Z23" t="s">
        <v>36</v>
      </c>
      <c r="AA23" t="s">
        <v>37</v>
      </c>
      <c r="AB23" t="s">
        <v>106</v>
      </c>
    </row>
    <row r="24" spans="1:28" x14ac:dyDescent="0.25">
      <c r="A24">
        <v>12</v>
      </c>
      <c r="B24" s="4">
        <v>46161.958333333328</v>
      </c>
      <c r="C24" t="s">
        <v>95</v>
      </c>
      <c r="D24" t="s">
        <v>28</v>
      </c>
      <c r="E24" t="s">
        <v>53</v>
      </c>
      <c r="F24" t="s">
        <v>29</v>
      </c>
      <c r="G24" t="s">
        <v>41</v>
      </c>
      <c r="H24" t="s">
        <v>40</v>
      </c>
      <c r="I24" t="s">
        <v>108</v>
      </c>
      <c r="J24" t="s">
        <v>109</v>
      </c>
      <c r="K24" t="s">
        <v>110</v>
      </c>
      <c r="L24" t="s">
        <v>111</v>
      </c>
      <c r="M24" t="s">
        <v>32</v>
      </c>
      <c r="N24" t="s">
        <v>100</v>
      </c>
      <c r="O24" t="s">
        <v>142</v>
      </c>
      <c r="P24" t="str">
        <f t="shared" si="0"/>
        <v>https://sueste.com/?utm_source=instagram&amp;utm_medium=social&amp;utm_campaign=social_w12</v>
      </c>
      <c r="Q24" t="s">
        <v>102</v>
      </c>
      <c r="R24" t="s">
        <v>103</v>
      </c>
      <c r="S24" t="s">
        <v>104</v>
      </c>
      <c r="T24" t="s">
        <v>105</v>
      </c>
      <c r="U24" s="4">
        <v>46158.958333333328</v>
      </c>
      <c r="V24" t="s">
        <v>43</v>
      </c>
      <c r="W24" t="s">
        <v>253</v>
      </c>
      <c r="X24" s="5">
        <v>46162.708333333328</v>
      </c>
      <c r="Z24" t="s">
        <v>41</v>
      </c>
      <c r="AA24" t="s">
        <v>56</v>
      </c>
      <c r="AB24" t="s">
        <v>106</v>
      </c>
    </row>
    <row r="25" spans="1:28" x14ac:dyDescent="0.25">
      <c r="A25">
        <v>12</v>
      </c>
      <c r="B25" s="4">
        <v>46164.958333333328</v>
      </c>
      <c r="C25" t="s">
        <v>107</v>
      </c>
      <c r="D25" t="s">
        <v>28</v>
      </c>
      <c r="E25" t="s">
        <v>44</v>
      </c>
      <c r="F25" t="s">
        <v>57</v>
      </c>
      <c r="G25" t="s">
        <v>58</v>
      </c>
      <c r="H25" t="s">
        <v>30</v>
      </c>
      <c r="I25" t="s">
        <v>112</v>
      </c>
      <c r="J25" t="s">
        <v>113</v>
      </c>
      <c r="K25" t="s">
        <v>114</v>
      </c>
      <c r="L25" t="s">
        <v>115</v>
      </c>
      <c r="M25" t="s">
        <v>65</v>
      </c>
      <c r="N25" t="s">
        <v>100</v>
      </c>
      <c r="O25" t="s">
        <v>142</v>
      </c>
      <c r="P25" t="str">
        <f t="shared" si="0"/>
        <v>https://sueste.com/?utm_source=instagram&amp;utm_medium=social&amp;utm_campaign=social_w12</v>
      </c>
      <c r="Q25" t="s">
        <v>102</v>
      </c>
      <c r="R25" t="s">
        <v>103</v>
      </c>
      <c r="S25" t="s">
        <v>104</v>
      </c>
      <c r="T25" t="s">
        <v>105</v>
      </c>
      <c r="U25" s="4">
        <v>46161.958333333328</v>
      </c>
      <c r="V25" t="s">
        <v>43</v>
      </c>
      <c r="W25" t="s">
        <v>253</v>
      </c>
      <c r="X25" s="5">
        <v>46165.395833333328</v>
      </c>
      <c r="Z25" t="s">
        <v>55</v>
      </c>
      <c r="AA25" t="s">
        <v>46</v>
      </c>
      <c r="AB25" t="s">
        <v>106</v>
      </c>
    </row>
    <row r="27" spans="1:28" x14ac:dyDescent="0.25">
      <c r="W27" s="15"/>
    </row>
  </sheetData>
  <autoFilter ref="A1:Y100" xr:uid="{00000000-0009-0000-0000-000002000000}"/>
  <dataValidations count="10">
    <dataValidation type="list" allowBlank="1" sqref="AA2:AA25" xr:uid="{00000000-0002-0000-0200-000000000000}">
      <formula1>AngleTypes</formula1>
    </dataValidation>
    <dataValidation type="list" allowBlank="1" sqref="D2:D100" xr:uid="{00000000-0002-0000-0200-000002000000}">
      <formula1>Platforms</formula1>
    </dataValidation>
    <dataValidation type="list" allowBlank="1" sqref="E2:E100" xr:uid="{00000000-0002-0000-0200-000004000000}">
      <formula1>ContentPillars</formula1>
    </dataValidation>
    <dataValidation type="list" allowBlank="1" sqref="F2:F100" xr:uid="{00000000-0002-0000-0200-000006000000}">
      <formula1>PostTypes</formula1>
    </dataValidation>
    <dataValidation type="list" allowBlank="1" sqref="G2:G100" xr:uid="{00000000-0002-0000-0200-000008000000}">
      <formula1>Objectives</formula1>
    </dataValidation>
    <dataValidation type="list" allowBlank="1" sqref="H2:H100" xr:uid="{00000000-0002-0000-0200-00000A000000}">
      <formula1>FunnelStage</formula1>
    </dataValidation>
    <dataValidation type="list" allowBlank="1" sqref="M2:M100" xr:uid="{00000000-0002-0000-0200-00000C000000}">
      <formula1>CTAs</formula1>
    </dataValidation>
    <dataValidation type="list" allowBlank="1" sqref="Q2:Q100 W2:W100" xr:uid="{00000000-0002-0000-0200-00000E000000}">
      <formula1>"Sim,Não"</formula1>
    </dataValidation>
    <dataValidation type="list" allowBlank="1" sqref="V2:V100" xr:uid="{00000000-0002-0000-0200-000010000000}">
      <formula1>Statuses</formula1>
    </dataValidation>
    <dataValidation type="list" allowBlank="1" sqref="Z2:Z25" xr:uid="{00000000-0002-0000-0200-000014000000}">
      <formula1>KPIs</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zoomScaleNormal="100" workbookViewId="0">
      <pane ySplit="1" topLeftCell="A2" activePane="bottomLeft" state="frozen"/>
      <selection pane="bottomLeft"/>
    </sheetView>
  </sheetViews>
  <sheetFormatPr defaultRowHeight="15" x14ac:dyDescent="0.25"/>
  <cols>
    <col min="1" max="1" width="30" customWidth="1"/>
    <col min="2" max="2" width="45" customWidth="1"/>
    <col min="3" max="3" width="18" customWidth="1"/>
    <col min="4" max="5" width="15" customWidth="1"/>
    <col min="6" max="6" width="35" customWidth="1"/>
    <col min="7" max="8" width="15" customWidth="1"/>
    <col min="9" max="9" width="30" customWidth="1"/>
  </cols>
  <sheetData>
    <row r="1" spans="1:9" s="3" customFormat="1" x14ac:dyDescent="0.25">
      <c r="A1" s="2" t="s">
        <v>143</v>
      </c>
      <c r="B1" s="2" t="s">
        <v>144</v>
      </c>
      <c r="C1" s="2" t="s">
        <v>77</v>
      </c>
      <c r="D1" s="2" t="s">
        <v>21</v>
      </c>
      <c r="E1" s="2" t="s">
        <v>20</v>
      </c>
      <c r="F1" s="2" t="s">
        <v>93</v>
      </c>
      <c r="G1" s="2" t="s">
        <v>145</v>
      </c>
      <c r="H1" s="2" t="s">
        <v>23</v>
      </c>
      <c r="I1" s="2" t="s">
        <v>146</v>
      </c>
    </row>
    <row r="2" spans="1:9" x14ac:dyDescent="0.25">
      <c r="A2" t="s">
        <v>147</v>
      </c>
      <c r="B2" t="s">
        <v>148</v>
      </c>
      <c r="C2" t="s">
        <v>53</v>
      </c>
      <c r="D2" t="s">
        <v>31</v>
      </c>
      <c r="E2" t="s">
        <v>30</v>
      </c>
      <c r="F2" t="s">
        <v>149</v>
      </c>
      <c r="G2" t="s">
        <v>150</v>
      </c>
      <c r="H2" t="s">
        <v>33</v>
      </c>
      <c r="I2" t="s">
        <v>151</v>
      </c>
    </row>
    <row r="3" spans="1:9" x14ac:dyDescent="0.25">
      <c r="A3" t="s">
        <v>152</v>
      </c>
      <c r="B3" t="s">
        <v>153</v>
      </c>
      <c r="C3" t="s">
        <v>44</v>
      </c>
      <c r="D3" t="s">
        <v>50</v>
      </c>
      <c r="E3" t="s">
        <v>40</v>
      </c>
      <c r="F3" t="s">
        <v>154</v>
      </c>
      <c r="G3" t="s">
        <v>155</v>
      </c>
      <c r="H3" t="s">
        <v>43</v>
      </c>
      <c r="I3" t="s">
        <v>8</v>
      </c>
    </row>
    <row r="4" spans="1:9" x14ac:dyDescent="0.25">
      <c r="A4" t="s">
        <v>156</v>
      </c>
      <c r="B4" t="s">
        <v>157</v>
      </c>
      <c r="C4" t="s">
        <v>53</v>
      </c>
      <c r="D4" t="s">
        <v>41</v>
      </c>
      <c r="E4" t="s">
        <v>40</v>
      </c>
      <c r="F4" t="s">
        <v>158</v>
      </c>
      <c r="G4" t="s">
        <v>150</v>
      </c>
      <c r="H4" t="s">
        <v>33</v>
      </c>
      <c r="I4" t="s">
        <v>8</v>
      </c>
    </row>
    <row r="5" spans="1:9" x14ac:dyDescent="0.25">
      <c r="A5" t="s">
        <v>159</v>
      </c>
      <c r="B5" t="s">
        <v>160</v>
      </c>
      <c r="C5" t="s">
        <v>61</v>
      </c>
      <c r="D5" t="s">
        <v>41</v>
      </c>
      <c r="E5" t="s">
        <v>49</v>
      </c>
      <c r="F5" t="s">
        <v>161</v>
      </c>
      <c r="G5" t="s">
        <v>150</v>
      </c>
      <c r="H5" t="s">
        <v>52</v>
      </c>
      <c r="I5" t="s">
        <v>8</v>
      </c>
    </row>
    <row r="6" spans="1:9" x14ac:dyDescent="0.25">
      <c r="A6" t="s">
        <v>162</v>
      </c>
      <c r="B6" t="s">
        <v>163</v>
      </c>
      <c r="C6" t="s">
        <v>53</v>
      </c>
      <c r="D6" t="s">
        <v>58</v>
      </c>
      <c r="E6" t="s">
        <v>30</v>
      </c>
      <c r="F6" t="s">
        <v>164</v>
      </c>
      <c r="G6" t="s">
        <v>155</v>
      </c>
      <c r="H6" t="s">
        <v>33</v>
      </c>
      <c r="I6" t="s">
        <v>8</v>
      </c>
    </row>
    <row r="7" spans="1:9" x14ac:dyDescent="0.25">
      <c r="A7" t="s">
        <v>165</v>
      </c>
      <c r="B7" t="s">
        <v>166</v>
      </c>
      <c r="C7" t="s">
        <v>71</v>
      </c>
      <c r="D7" t="s">
        <v>50</v>
      </c>
      <c r="E7" t="s">
        <v>40</v>
      </c>
      <c r="F7" t="s">
        <v>167</v>
      </c>
      <c r="G7" t="s">
        <v>150</v>
      </c>
      <c r="H7" t="s">
        <v>43</v>
      </c>
      <c r="I7" t="s">
        <v>8</v>
      </c>
    </row>
    <row r="8" spans="1:9" x14ac:dyDescent="0.25">
      <c r="A8" t="s">
        <v>168</v>
      </c>
      <c r="B8" t="s">
        <v>169</v>
      </c>
      <c r="C8" t="s">
        <v>67</v>
      </c>
      <c r="D8" t="s">
        <v>41</v>
      </c>
      <c r="E8" t="s">
        <v>49</v>
      </c>
      <c r="F8" t="s">
        <v>170</v>
      </c>
      <c r="G8" t="s">
        <v>150</v>
      </c>
      <c r="H8" t="s">
        <v>33</v>
      </c>
      <c r="I8" t="s">
        <v>8</v>
      </c>
    </row>
    <row r="9" spans="1:9" x14ac:dyDescent="0.25">
      <c r="A9" t="s">
        <v>171</v>
      </c>
      <c r="B9" t="s">
        <v>172</v>
      </c>
      <c r="C9" t="s">
        <v>53</v>
      </c>
      <c r="D9" t="s">
        <v>31</v>
      </c>
      <c r="E9" t="s">
        <v>30</v>
      </c>
      <c r="F9" t="s">
        <v>173</v>
      </c>
      <c r="G9" t="s">
        <v>155</v>
      </c>
      <c r="H9" t="s">
        <v>33</v>
      </c>
      <c r="I9" t="s">
        <v>8</v>
      </c>
    </row>
    <row r="10" spans="1:9" x14ac:dyDescent="0.25">
      <c r="A10" t="s">
        <v>174</v>
      </c>
      <c r="B10" t="s">
        <v>175</v>
      </c>
      <c r="C10" t="s">
        <v>53</v>
      </c>
      <c r="D10" t="s">
        <v>58</v>
      </c>
      <c r="E10" t="s">
        <v>30</v>
      </c>
      <c r="F10" t="s">
        <v>176</v>
      </c>
      <c r="G10" t="s">
        <v>155</v>
      </c>
      <c r="H10" t="s">
        <v>33</v>
      </c>
      <c r="I10" t="s">
        <v>8</v>
      </c>
    </row>
    <row r="11" spans="1:9" x14ac:dyDescent="0.25">
      <c r="A11" t="s">
        <v>177</v>
      </c>
      <c r="B11" t="s">
        <v>178</v>
      </c>
      <c r="C11" t="s">
        <v>69</v>
      </c>
      <c r="D11" t="s">
        <v>50</v>
      </c>
      <c r="E11" t="s">
        <v>40</v>
      </c>
      <c r="F11" t="s">
        <v>179</v>
      </c>
      <c r="G11" t="s">
        <v>150</v>
      </c>
      <c r="H11" t="s">
        <v>33</v>
      </c>
      <c r="I11" t="s">
        <v>8</v>
      </c>
    </row>
    <row r="12" spans="1:9" x14ac:dyDescent="0.25">
      <c r="A12" t="s">
        <v>180</v>
      </c>
      <c r="B12" t="s">
        <v>181</v>
      </c>
      <c r="C12" t="s">
        <v>53</v>
      </c>
      <c r="D12" t="s">
        <v>31</v>
      </c>
      <c r="E12" t="s">
        <v>30</v>
      </c>
      <c r="F12" t="s">
        <v>182</v>
      </c>
      <c r="G12" t="s">
        <v>183</v>
      </c>
      <c r="H12" t="s">
        <v>33</v>
      </c>
      <c r="I12" t="s">
        <v>8</v>
      </c>
    </row>
    <row r="13" spans="1:9" x14ac:dyDescent="0.25">
      <c r="A13" t="s">
        <v>184</v>
      </c>
      <c r="B13" t="s">
        <v>185</v>
      </c>
      <c r="C13" t="s">
        <v>67</v>
      </c>
      <c r="D13" t="s">
        <v>31</v>
      </c>
      <c r="E13" t="s">
        <v>40</v>
      </c>
      <c r="F13" t="s">
        <v>186</v>
      </c>
      <c r="G13" t="s">
        <v>155</v>
      </c>
      <c r="H13" t="s">
        <v>43</v>
      </c>
      <c r="I13" t="s">
        <v>8</v>
      </c>
    </row>
    <row r="14" spans="1:9" x14ac:dyDescent="0.25">
      <c r="A14" t="s">
        <v>187</v>
      </c>
      <c r="B14" t="s">
        <v>188</v>
      </c>
      <c r="C14" t="s">
        <v>53</v>
      </c>
      <c r="D14" t="s">
        <v>58</v>
      </c>
      <c r="E14" t="s">
        <v>30</v>
      </c>
      <c r="F14" t="s">
        <v>189</v>
      </c>
      <c r="G14" t="s">
        <v>150</v>
      </c>
      <c r="H14" t="s">
        <v>33</v>
      </c>
      <c r="I14" t="s">
        <v>8</v>
      </c>
    </row>
    <row r="15" spans="1:9" x14ac:dyDescent="0.25">
      <c r="A15" t="s">
        <v>190</v>
      </c>
      <c r="B15" t="s">
        <v>191</v>
      </c>
      <c r="C15" t="s">
        <v>53</v>
      </c>
      <c r="D15" t="s">
        <v>31</v>
      </c>
      <c r="E15" t="s">
        <v>40</v>
      </c>
      <c r="F15" t="s">
        <v>192</v>
      </c>
      <c r="G15" t="s">
        <v>150</v>
      </c>
      <c r="H15" t="s">
        <v>33</v>
      </c>
      <c r="I15" t="s">
        <v>8</v>
      </c>
    </row>
    <row r="16" spans="1:9" x14ac:dyDescent="0.25">
      <c r="A16" t="s">
        <v>193</v>
      </c>
      <c r="B16" t="s">
        <v>194</v>
      </c>
      <c r="C16" t="s">
        <v>53</v>
      </c>
      <c r="D16" t="s">
        <v>31</v>
      </c>
      <c r="E16" t="s">
        <v>30</v>
      </c>
      <c r="F16" t="s">
        <v>195</v>
      </c>
      <c r="G16" t="s">
        <v>155</v>
      </c>
      <c r="H16" t="s">
        <v>33</v>
      </c>
      <c r="I16" t="s">
        <v>8</v>
      </c>
    </row>
    <row r="17" spans="1:9" x14ac:dyDescent="0.25">
      <c r="A17" t="s">
        <v>196</v>
      </c>
      <c r="B17" t="s">
        <v>197</v>
      </c>
      <c r="C17" t="s">
        <v>71</v>
      </c>
      <c r="D17" t="s">
        <v>50</v>
      </c>
      <c r="E17" t="s">
        <v>40</v>
      </c>
      <c r="F17" t="s">
        <v>198</v>
      </c>
      <c r="G17" t="s">
        <v>183</v>
      </c>
      <c r="H17" t="s">
        <v>33</v>
      </c>
      <c r="I17" t="s">
        <v>8</v>
      </c>
    </row>
    <row r="18" spans="1:9" x14ac:dyDescent="0.25">
      <c r="A18" t="s">
        <v>199</v>
      </c>
      <c r="B18" t="s">
        <v>200</v>
      </c>
      <c r="C18" t="s">
        <v>67</v>
      </c>
      <c r="D18" t="s">
        <v>41</v>
      </c>
      <c r="E18" t="s">
        <v>49</v>
      </c>
      <c r="F18" t="s">
        <v>201</v>
      </c>
      <c r="G18" t="s">
        <v>150</v>
      </c>
      <c r="H18" t="s">
        <v>43</v>
      </c>
      <c r="I18" t="s">
        <v>8</v>
      </c>
    </row>
    <row r="19" spans="1:9" x14ac:dyDescent="0.25">
      <c r="A19" t="s">
        <v>202</v>
      </c>
      <c r="B19" t="s">
        <v>203</v>
      </c>
      <c r="C19" t="s">
        <v>53</v>
      </c>
      <c r="D19" t="s">
        <v>31</v>
      </c>
      <c r="E19" t="s">
        <v>30</v>
      </c>
      <c r="F19" t="s">
        <v>204</v>
      </c>
      <c r="G19" t="s">
        <v>155</v>
      </c>
      <c r="H19" t="s">
        <v>33</v>
      </c>
      <c r="I19" t="s">
        <v>8</v>
      </c>
    </row>
    <row r="20" spans="1:9" x14ac:dyDescent="0.25">
      <c r="A20" t="s">
        <v>205</v>
      </c>
      <c r="B20" t="s">
        <v>206</v>
      </c>
      <c r="C20" t="s">
        <v>53</v>
      </c>
      <c r="D20" t="s">
        <v>58</v>
      </c>
      <c r="E20" t="s">
        <v>30</v>
      </c>
      <c r="F20" t="s">
        <v>207</v>
      </c>
      <c r="G20" t="s">
        <v>183</v>
      </c>
      <c r="H20" t="s">
        <v>33</v>
      </c>
      <c r="I20" t="s">
        <v>8</v>
      </c>
    </row>
    <row r="21" spans="1:9" x14ac:dyDescent="0.25">
      <c r="A21" t="s">
        <v>208</v>
      </c>
      <c r="B21" t="s">
        <v>209</v>
      </c>
      <c r="C21" t="s">
        <v>53</v>
      </c>
      <c r="D21" t="s">
        <v>31</v>
      </c>
      <c r="E21" t="s">
        <v>40</v>
      </c>
      <c r="F21" t="s">
        <v>210</v>
      </c>
      <c r="G21" t="s">
        <v>150</v>
      </c>
      <c r="H21" t="s">
        <v>33</v>
      </c>
      <c r="I21" t="s">
        <v>8</v>
      </c>
    </row>
    <row r="22" spans="1:9" x14ac:dyDescent="0.25">
      <c r="A22" t="s">
        <v>211</v>
      </c>
      <c r="B22" t="s">
        <v>212</v>
      </c>
      <c r="C22" t="s">
        <v>53</v>
      </c>
      <c r="D22" t="s">
        <v>31</v>
      </c>
      <c r="E22" t="s">
        <v>30</v>
      </c>
      <c r="F22" t="s">
        <v>213</v>
      </c>
      <c r="G22" t="s">
        <v>155</v>
      </c>
      <c r="H22" t="s">
        <v>33</v>
      </c>
      <c r="I22" t="s">
        <v>8</v>
      </c>
    </row>
    <row r="23" spans="1:9" x14ac:dyDescent="0.25">
      <c r="A23" t="s">
        <v>214</v>
      </c>
      <c r="B23" t="s">
        <v>215</v>
      </c>
      <c r="C23" t="s">
        <v>34</v>
      </c>
      <c r="D23" t="s">
        <v>50</v>
      </c>
      <c r="E23" t="s">
        <v>40</v>
      </c>
      <c r="F23" t="s">
        <v>216</v>
      </c>
      <c r="G23" t="s">
        <v>150</v>
      </c>
      <c r="H23" t="s">
        <v>33</v>
      </c>
      <c r="I23" t="s">
        <v>8</v>
      </c>
    </row>
    <row r="24" spans="1:9" x14ac:dyDescent="0.25">
      <c r="A24" t="s">
        <v>217</v>
      </c>
      <c r="B24" t="s">
        <v>218</v>
      </c>
      <c r="C24" t="s">
        <v>67</v>
      </c>
      <c r="D24" t="s">
        <v>41</v>
      </c>
      <c r="E24" t="s">
        <v>49</v>
      </c>
      <c r="F24" t="s">
        <v>219</v>
      </c>
      <c r="G24" t="s">
        <v>150</v>
      </c>
      <c r="H24" t="s">
        <v>33</v>
      </c>
      <c r="I24" t="s">
        <v>8</v>
      </c>
    </row>
    <row r="25" spans="1:9" x14ac:dyDescent="0.25">
      <c r="A25" t="s">
        <v>220</v>
      </c>
      <c r="B25" t="s">
        <v>221</v>
      </c>
      <c r="C25" t="s">
        <v>53</v>
      </c>
      <c r="D25" t="s">
        <v>58</v>
      </c>
      <c r="E25" t="s">
        <v>30</v>
      </c>
      <c r="F25" t="s">
        <v>222</v>
      </c>
      <c r="G25" t="s">
        <v>155</v>
      </c>
      <c r="H25" t="s">
        <v>33</v>
      </c>
      <c r="I25" t="s">
        <v>8</v>
      </c>
    </row>
    <row r="26" spans="1:9" x14ac:dyDescent="0.25">
      <c r="A26" t="s">
        <v>223</v>
      </c>
      <c r="B26" t="s">
        <v>224</v>
      </c>
      <c r="C26" t="s">
        <v>69</v>
      </c>
      <c r="D26" t="s">
        <v>41</v>
      </c>
      <c r="E26" t="s">
        <v>49</v>
      </c>
      <c r="F26" t="s">
        <v>225</v>
      </c>
      <c r="G26" t="s">
        <v>150</v>
      </c>
      <c r="H26" t="s">
        <v>33</v>
      </c>
      <c r="I26" t="s">
        <v>8</v>
      </c>
    </row>
  </sheetData>
  <autoFilter ref="A1:I50" xr:uid="{00000000-0009-0000-0000-000003000000}"/>
  <dataValidations count="5">
    <dataValidation type="list" allowBlank="1" sqref="C2:C50" xr:uid="{00000000-0002-0000-0300-000000000000}">
      <formula1>ContentPillars</formula1>
    </dataValidation>
    <dataValidation type="list" allowBlank="1" sqref="D2:D50" xr:uid="{00000000-0002-0000-0300-000002000000}">
      <formula1>Objectives</formula1>
    </dataValidation>
    <dataValidation type="list" allowBlank="1" sqref="E2:E50" xr:uid="{00000000-0002-0000-0300-000004000000}">
      <formula1>FunnelStage</formula1>
    </dataValidation>
    <dataValidation type="list" allowBlank="1" sqref="G2:G50" xr:uid="{00000000-0002-0000-0300-000006000000}">
      <formula1>"Alta,Média,Baixa"</formula1>
    </dataValidation>
    <dataValidation type="list" allowBlank="1" sqref="H2:H50" xr:uid="{00000000-0002-0000-0300-000008000000}">
      <formula1>Statuses</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0"/>
  <sheetViews>
    <sheetView zoomScaleNormal="100" workbookViewId="0">
      <pane ySplit="1" topLeftCell="A2" activePane="bottomLeft" state="frozen"/>
      <selection pane="bottomLeft"/>
    </sheetView>
  </sheetViews>
  <sheetFormatPr defaultRowHeight="15" x14ac:dyDescent="0.25"/>
  <cols>
    <col min="1" max="2" width="15" customWidth="1"/>
    <col min="3" max="3" width="30" customWidth="1"/>
    <col min="4" max="4" width="25" customWidth="1"/>
    <col min="5" max="7" width="15" customWidth="1"/>
    <col min="8" max="11" width="12" customWidth="1"/>
    <col min="12" max="12" width="30" customWidth="1"/>
  </cols>
  <sheetData>
    <row r="1" spans="1:12" s="3" customFormat="1" x14ac:dyDescent="0.25">
      <c r="A1" s="2" t="s">
        <v>74</v>
      </c>
      <c r="B1" s="2" t="s">
        <v>76</v>
      </c>
      <c r="C1" s="2" t="s">
        <v>226</v>
      </c>
      <c r="D1" s="2" t="s">
        <v>227</v>
      </c>
      <c r="E1" s="2" t="s">
        <v>228</v>
      </c>
      <c r="F1" s="2" t="s">
        <v>229</v>
      </c>
      <c r="G1" s="2" t="s">
        <v>230</v>
      </c>
      <c r="H1" s="2" t="s">
        <v>36</v>
      </c>
      <c r="I1" s="2" t="s">
        <v>231</v>
      </c>
      <c r="J1" s="2" t="s">
        <v>41</v>
      </c>
      <c r="K1" s="2" t="s">
        <v>232</v>
      </c>
      <c r="L1" s="2" t="s">
        <v>93</v>
      </c>
    </row>
    <row r="2" spans="1:12" x14ac:dyDescent="0.25">
      <c r="I2" s="6">
        <f t="shared" ref="I2:I33" si="0">IF(E2&gt;0, H2/E2, 0)</f>
        <v>0</v>
      </c>
      <c r="K2" s="7"/>
    </row>
    <row r="3" spans="1:12" x14ac:dyDescent="0.25">
      <c r="I3" s="6">
        <f t="shared" si="0"/>
        <v>0</v>
      </c>
      <c r="K3" s="7"/>
    </row>
    <row r="4" spans="1:12" x14ac:dyDescent="0.25">
      <c r="I4" s="6">
        <f t="shared" si="0"/>
        <v>0</v>
      </c>
      <c r="K4" s="7"/>
    </row>
    <row r="5" spans="1:12" x14ac:dyDescent="0.25">
      <c r="I5" s="6">
        <f t="shared" si="0"/>
        <v>0</v>
      </c>
      <c r="K5" s="7"/>
    </row>
    <row r="6" spans="1:12" x14ac:dyDescent="0.25">
      <c r="I6" s="6">
        <f t="shared" si="0"/>
        <v>0</v>
      </c>
      <c r="K6" s="7"/>
    </row>
    <row r="7" spans="1:12" x14ac:dyDescent="0.25">
      <c r="I7" s="6">
        <f t="shared" si="0"/>
        <v>0</v>
      </c>
      <c r="K7" s="7"/>
    </row>
    <row r="8" spans="1:12" x14ac:dyDescent="0.25">
      <c r="I8" s="6">
        <f t="shared" si="0"/>
        <v>0</v>
      </c>
      <c r="K8" s="7"/>
    </row>
    <row r="9" spans="1:12" x14ac:dyDescent="0.25">
      <c r="I9" s="6">
        <f t="shared" si="0"/>
        <v>0</v>
      </c>
      <c r="K9" s="7"/>
    </row>
    <row r="10" spans="1:12" x14ac:dyDescent="0.25">
      <c r="I10" s="6">
        <f t="shared" si="0"/>
        <v>0</v>
      </c>
      <c r="K10" s="7"/>
    </row>
    <row r="11" spans="1:12" x14ac:dyDescent="0.25">
      <c r="I11" s="6">
        <f t="shared" si="0"/>
        <v>0</v>
      </c>
      <c r="K11" s="7"/>
    </row>
    <row r="12" spans="1:12" x14ac:dyDescent="0.25">
      <c r="I12" s="6">
        <f t="shared" si="0"/>
        <v>0</v>
      </c>
      <c r="K12" s="7"/>
    </row>
    <row r="13" spans="1:12" x14ac:dyDescent="0.25">
      <c r="I13" s="6">
        <f t="shared" si="0"/>
        <v>0</v>
      </c>
      <c r="K13" s="7"/>
    </row>
    <row r="14" spans="1:12" x14ac:dyDescent="0.25">
      <c r="I14" s="6">
        <f t="shared" si="0"/>
        <v>0</v>
      </c>
      <c r="K14" s="7"/>
    </row>
    <row r="15" spans="1:12" x14ac:dyDescent="0.25">
      <c r="I15" s="6">
        <f t="shared" si="0"/>
        <v>0</v>
      </c>
      <c r="K15" s="7"/>
    </row>
    <row r="16" spans="1:12" x14ac:dyDescent="0.25">
      <c r="I16" s="6">
        <f t="shared" si="0"/>
        <v>0</v>
      </c>
      <c r="K16" s="7"/>
    </row>
    <row r="17" spans="9:11" x14ac:dyDescent="0.25">
      <c r="I17" s="6">
        <f t="shared" si="0"/>
        <v>0</v>
      </c>
      <c r="K17" s="7"/>
    </row>
    <row r="18" spans="9:11" x14ac:dyDescent="0.25">
      <c r="I18" s="6">
        <f t="shared" si="0"/>
        <v>0</v>
      </c>
      <c r="K18" s="7"/>
    </row>
    <row r="19" spans="9:11" x14ac:dyDescent="0.25">
      <c r="I19" s="6">
        <f t="shared" si="0"/>
        <v>0</v>
      </c>
      <c r="K19" s="7"/>
    </row>
    <row r="20" spans="9:11" x14ac:dyDescent="0.25">
      <c r="I20" s="6">
        <f t="shared" si="0"/>
        <v>0</v>
      </c>
      <c r="K20" s="7"/>
    </row>
    <row r="21" spans="9:11" x14ac:dyDescent="0.25">
      <c r="I21" s="6">
        <f t="shared" si="0"/>
        <v>0</v>
      </c>
      <c r="K21" s="7"/>
    </row>
    <row r="22" spans="9:11" x14ac:dyDescent="0.25">
      <c r="I22" s="6">
        <f t="shared" si="0"/>
        <v>0</v>
      </c>
      <c r="K22" s="7"/>
    </row>
    <row r="23" spans="9:11" x14ac:dyDescent="0.25">
      <c r="I23" s="6">
        <f t="shared" si="0"/>
        <v>0</v>
      </c>
      <c r="K23" s="7"/>
    </row>
    <row r="24" spans="9:11" x14ac:dyDescent="0.25">
      <c r="I24" s="6">
        <f t="shared" si="0"/>
        <v>0</v>
      </c>
      <c r="K24" s="7"/>
    </row>
    <row r="25" spans="9:11" x14ac:dyDescent="0.25">
      <c r="I25" s="6">
        <f t="shared" si="0"/>
        <v>0</v>
      </c>
      <c r="K25" s="7"/>
    </row>
    <row r="26" spans="9:11" x14ac:dyDescent="0.25">
      <c r="I26" s="6">
        <f t="shared" si="0"/>
        <v>0</v>
      </c>
      <c r="K26" s="7"/>
    </row>
    <row r="27" spans="9:11" x14ac:dyDescent="0.25">
      <c r="I27" s="6">
        <f t="shared" si="0"/>
        <v>0</v>
      </c>
      <c r="K27" s="7"/>
    </row>
    <row r="28" spans="9:11" x14ac:dyDescent="0.25">
      <c r="I28" s="6">
        <f t="shared" si="0"/>
        <v>0</v>
      </c>
      <c r="K28" s="7"/>
    </row>
    <row r="29" spans="9:11" x14ac:dyDescent="0.25">
      <c r="I29" s="6">
        <f t="shared" si="0"/>
        <v>0</v>
      </c>
      <c r="K29" s="7"/>
    </row>
    <row r="30" spans="9:11" x14ac:dyDescent="0.25">
      <c r="I30" s="6">
        <f t="shared" si="0"/>
        <v>0</v>
      </c>
      <c r="K30" s="7"/>
    </row>
    <row r="31" spans="9:11" x14ac:dyDescent="0.25">
      <c r="I31" s="6">
        <f t="shared" si="0"/>
        <v>0</v>
      </c>
      <c r="K31" s="7"/>
    </row>
    <row r="32" spans="9:11" x14ac:dyDescent="0.25">
      <c r="I32" s="6">
        <f t="shared" si="0"/>
        <v>0</v>
      </c>
      <c r="K32" s="7"/>
    </row>
    <row r="33" spans="9:11" x14ac:dyDescent="0.25">
      <c r="I33" s="6">
        <f t="shared" si="0"/>
        <v>0</v>
      </c>
      <c r="K33" s="7"/>
    </row>
    <row r="34" spans="9:11" x14ac:dyDescent="0.25">
      <c r="I34" s="6">
        <f t="shared" ref="I34:I65" si="1">IF(E34&gt;0, H34/E34, 0)</f>
        <v>0</v>
      </c>
      <c r="K34" s="7"/>
    </row>
    <row r="35" spans="9:11" x14ac:dyDescent="0.25">
      <c r="I35" s="6">
        <f t="shared" si="1"/>
        <v>0</v>
      </c>
      <c r="K35" s="7"/>
    </row>
    <row r="36" spans="9:11" x14ac:dyDescent="0.25">
      <c r="I36" s="6">
        <f t="shared" si="1"/>
        <v>0</v>
      </c>
      <c r="K36" s="7"/>
    </row>
    <row r="37" spans="9:11" x14ac:dyDescent="0.25">
      <c r="I37" s="6">
        <f t="shared" si="1"/>
        <v>0</v>
      </c>
      <c r="K37" s="7"/>
    </row>
    <row r="38" spans="9:11" x14ac:dyDescent="0.25">
      <c r="I38" s="6">
        <f t="shared" si="1"/>
        <v>0</v>
      </c>
      <c r="K38" s="7"/>
    </row>
    <row r="39" spans="9:11" x14ac:dyDescent="0.25">
      <c r="I39" s="6">
        <f t="shared" si="1"/>
        <v>0</v>
      </c>
      <c r="K39" s="7"/>
    </row>
    <row r="40" spans="9:11" x14ac:dyDescent="0.25">
      <c r="I40" s="6">
        <f t="shared" si="1"/>
        <v>0</v>
      </c>
      <c r="K40" s="7"/>
    </row>
    <row r="41" spans="9:11" x14ac:dyDescent="0.25">
      <c r="I41" s="6">
        <f t="shared" si="1"/>
        <v>0</v>
      </c>
      <c r="K41" s="7"/>
    </row>
    <row r="42" spans="9:11" x14ac:dyDescent="0.25">
      <c r="I42" s="6">
        <f t="shared" si="1"/>
        <v>0</v>
      </c>
      <c r="K42" s="7"/>
    </row>
    <row r="43" spans="9:11" x14ac:dyDescent="0.25">
      <c r="I43" s="6">
        <f t="shared" si="1"/>
        <v>0</v>
      </c>
      <c r="K43" s="7"/>
    </row>
    <row r="44" spans="9:11" x14ac:dyDescent="0.25">
      <c r="I44" s="6">
        <f t="shared" si="1"/>
        <v>0</v>
      </c>
      <c r="K44" s="7"/>
    </row>
    <row r="45" spans="9:11" x14ac:dyDescent="0.25">
      <c r="I45" s="6">
        <f t="shared" si="1"/>
        <v>0</v>
      </c>
      <c r="K45" s="7"/>
    </row>
    <row r="46" spans="9:11" x14ac:dyDescent="0.25">
      <c r="I46" s="6">
        <f t="shared" si="1"/>
        <v>0</v>
      </c>
      <c r="K46" s="7"/>
    </row>
    <row r="47" spans="9:11" x14ac:dyDescent="0.25">
      <c r="I47" s="6">
        <f t="shared" si="1"/>
        <v>0</v>
      </c>
      <c r="K47" s="7"/>
    </row>
    <row r="48" spans="9:11" x14ac:dyDescent="0.25">
      <c r="I48" s="6">
        <f t="shared" si="1"/>
        <v>0</v>
      </c>
      <c r="K48" s="7"/>
    </row>
    <row r="49" spans="9:11" x14ac:dyDescent="0.25">
      <c r="I49" s="6">
        <f t="shared" si="1"/>
        <v>0</v>
      </c>
      <c r="K49" s="7"/>
    </row>
    <row r="50" spans="9:11" x14ac:dyDescent="0.25">
      <c r="I50" s="6">
        <f t="shared" si="1"/>
        <v>0</v>
      </c>
      <c r="K50" s="7"/>
    </row>
  </sheetData>
  <autoFilter ref="A1:L50" xr:uid="{00000000-0009-0000-0000-000004000000}"/>
  <dataValidations count="1">
    <dataValidation type="list" allowBlank="1" sqref="B2:B50" xr:uid="{00000000-0002-0000-0400-000000000000}">
      <formula1>Platforms</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H27"/>
  <sheetViews>
    <sheetView workbookViewId="0"/>
  </sheetViews>
  <sheetFormatPr defaultRowHeight="15" x14ac:dyDescent="0.25"/>
  <cols>
    <col min="2" max="2" width="35" customWidth="1"/>
    <col min="3" max="3" width="32" customWidth="1"/>
    <col min="4" max="4" width="12" customWidth="1"/>
    <col min="6" max="6" width="8" customWidth="1"/>
    <col min="7" max="7" width="32" customWidth="1"/>
    <col min="8" max="8" width="12" customWidth="1"/>
  </cols>
  <sheetData>
    <row r="2" spans="2:3" ht="21" x14ac:dyDescent="0.35">
      <c r="B2" s="8" t="s">
        <v>233</v>
      </c>
    </row>
    <row r="4" spans="2:3" ht="18.75" x14ac:dyDescent="0.3">
      <c r="B4" s="9" t="s">
        <v>234</v>
      </c>
      <c r="C4" s="1">
        <f>COUNTA(CALENDAR!A2:A501)</f>
        <v>24</v>
      </c>
    </row>
    <row r="6" spans="2:3" x14ac:dyDescent="0.25">
      <c r="B6" s="10" t="s">
        <v>235</v>
      </c>
    </row>
    <row r="7" spans="2:3" x14ac:dyDescent="0.25">
      <c r="B7" t="s">
        <v>236</v>
      </c>
      <c r="C7">
        <f>COUNTIF(CALENDAR!V2:V501, "Idea")</f>
        <v>0</v>
      </c>
    </row>
    <row r="8" spans="2:3" x14ac:dyDescent="0.25">
      <c r="B8" t="s">
        <v>237</v>
      </c>
      <c r="C8">
        <f>COUNTIF(CALENDAR!V2:V501, "Draft")</f>
        <v>24</v>
      </c>
    </row>
    <row r="9" spans="2:3" x14ac:dyDescent="0.25">
      <c r="B9" t="s">
        <v>238</v>
      </c>
      <c r="C9">
        <f>COUNTIF(CALENDAR!V2:V501, "Needs Review")</f>
        <v>0</v>
      </c>
    </row>
    <row r="10" spans="2:3" x14ac:dyDescent="0.25">
      <c r="B10" t="s">
        <v>239</v>
      </c>
      <c r="C10">
        <f>COUNTIF(CALENDAR!V2:V501, "Approved")</f>
        <v>0</v>
      </c>
    </row>
    <row r="11" spans="2:3" x14ac:dyDescent="0.25">
      <c r="B11" t="s">
        <v>240</v>
      </c>
      <c r="C11">
        <f>COUNTIF(CALENDAR!V2:V501, "Scheduled")</f>
        <v>0</v>
      </c>
    </row>
    <row r="12" spans="2:3" x14ac:dyDescent="0.25">
      <c r="B12" t="s">
        <v>241</v>
      </c>
      <c r="C12">
        <f>COUNTIF(CALENDAR!V2:V501, "Published")</f>
        <v>0</v>
      </c>
    </row>
    <row r="14" spans="2:3" x14ac:dyDescent="0.25">
      <c r="B14" s="10" t="s">
        <v>242</v>
      </c>
    </row>
    <row r="15" spans="2:3" x14ac:dyDescent="0.25">
      <c r="B15" t="s">
        <v>243</v>
      </c>
      <c r="C15" s="9">
        <f>SUM('LEADS &amp; RESULTS'!H:H)</f>
        <v>0</v>
      </c>
    </row>
    <row r="16" spans="2:3" x14ac:dyDescent="0.25">
      <c r="B16" t="s">
        <v>244</v>
      </c>
      <c r="C16" s="9">
        <f>SUM('LEADS &amp; RESULTS'!J:J)</f>
        <v>0</v>
      </c>
    </row>
    <row r="17" spans="2:8" x14ac:dyDescent="0.25">
      <c r="B17" t="s">
        <v>245</v>
      </c>
      <c r="C17" s="11">
        <f>IFERROR(SUM('LEADS &amp; RESULTS'!H:H)/SUM('LEADS &amp; RESULTS'!E:E), 0)</f>
        <v>0</v>
      </c>
    </row>
    <row r="19" spans="2:8" ht="18.75" x14ac:dyDescent="0.3">
      <c r="B19" s="12" t="s">
        <v>246</v>
      </c>
    </row>
    <row r="20" spans="2:8" x14ac:dyDescent="0.25">
      <c r="B20" s="13" t="s">
        <v>247</v>
      </c>
      <c r="C20" s="13" t="s">
        <v>248</v>
      </c>
      <c r="D20" s="13" t="s">
        <v>249</v>
      </c>
      <c r="F20" s="13" t="s">
        <v>247</v>
      </c>
      <c r="G20" s="13" t="s">
        <v>250</v>
      </c>
      <c r="H20" s="13" t="s">
        <v>251</v>
      </c>
    </row>
    <row r="21" spans="2:8" x14ac:dyDescent="0.25">
      <c r="B21">
        <v>1</v>
      </c>
      <c r="C21" t="str">
        <f>IF(D21&gt;0, INDEX('LEADS &amp; RESULTS'!D$2:D$100, MATCH(D21, 'LEADS &amp; RESULTS'!H$2:H$100, 0)), "-")</f>
        <v>-</v>
      </c>
      <c r="D21">
        <f>IFERROR(LARGE('LEADS &amp; RESULTS'!H$2:H$100, 1), 0)</f>
        <v>0</v>
      </c>
      <c r="F21">
        <v>1</v>
      </c>
      <c r="G21" t="str">
        <f>IF(H21&gt;0, INDEX('LEADS &amp; RESULTS'!D$2:D$100, MATCH(H21, 'LEADS &amp; RESULTS'!J$2:J$100, 0)), "-")</f>
        <v>-</v>
      </c>
      <c r="H21">
        <f>IFERROR(LARGE('LEADS &amp; RESULTS'!J$2:J$100, 1), 0)</f>
        <v>0</v>
      </c>
    </row>
    <row r="22" spans="2:8" x14ac:dyDescent="0.25">
      <c r="B22">
        <v>2</v>
      </c>
      <c r="C22" t="str">
        <f>IF(D22&gt;0, INDEX('LEADS &amp; RESULTS'!D$2:D$100, MATCH(D22, 'LEADS &amp; RESULTS'!H$2:H$100, 0)), "-")</f>
        <v>-</v>
      </c>
      <c r="D22">
        <f>IFERROR(LARGE('LEADS &amp; RESULTS'!H$2:H$100, 2), 0)</f>
        <v>0</v>
      </c>
      <c r="F22">
        <v>2</v>
      </c>
      <c r="G22" t="str">
        <f>IF(H22&gt;0, INDEX('LEADS &amp; RESULTS'!D$2:D$100, MATCH(H22, 'LEADS &amp; RESULTS'!J$2:J$100, 0)), "-")</f>
        <v>-</v>
      </c>
      <c r="H22">
        <f>IFERROR(LARGE('LEADS &amp; RESULTS'!J$2:J$100, 2), 0)</f>
        <v>0</v>
      </c>
    </row>
    <row r="23" spans="2:8" x14ac:dyDescent="0.25">
      <c r="B23">
        <v>3</v>
      </c>
      <c r="C23" t="str">
        <f>IF(D23&gt;0, INDEX('LEADS &amp; RESULTS'!D$2:D$100, MATCH(D23, 'LEADS &amp; RESULTS'!H$2:H$100, 0)), "-")</f>
        <v>-</v>
      </c>
      <c r="D23">
        <f>IFERROR(LARGE('LEADS &amp; RESULTS'!H$2:H$100, 3), 0)</f>
        <v>0</v>
      </c>
      <c r="F23">
        <v>3</v>
      </c>
      <c r="G23" t="str">
        <f>IF(H23&gt;0, INDEX('LEADS &amp; RESULTS'!D$2:D$100, MATCH(H23, 'LEADS &amp; RESULTS'!J$2:J$100, 0)), "-")</f>
        <v>-</v>
      </c>
      <c r="H23">
        <f>IFERROR(LARGE('LEADS &amp; RESULTS'!J$2:J$100, 3), 0)</f>
        <v>0</v>
      </c>
    </row>
    <row r="24" spans="2:8" x14ac:dyDescent="0.25">
      <c r="B24">
        <v>4</v>
      </c>
      <c r="C24" t="str">
        <f>IF(D24&gt;0, INDEX('LEADS &amp; RESULTS'!D$2:D$100, MATCH(D24, 'LEADS &amp; RESULTS'!H$2:H$100, 0)), "-")</f>
        <v>-</v>
      </c>
      <c r="D24">
        <f>IFERROR(LARGE('LEADS &amp; RESULTS'!H$2:H$100, 4), 0)</f>
        <v>0</v>
      </c>
      <c r="F24">
        <v>4</v>
      </c>
      <c r="G24" t="str">
        <f>IF(H24&gt;0, INDEX('LEADS &amp; RESULTS'!D$2:D$100, MATCH(H24, 'LEADS &amp; RESULTS'!J$2:J$100, 0)), "-")</f>
        <v>-</v>
      </c>
      <c r="H24">
        <f>IFERROR(LARGE('LEADS &amp; RESULTS'!J$2:J$100, 4), 0)</f>
        <v>0</v>
      </c>
    </row>
    <row r="25" spans="2:8" x14ac:dyDescent="0.25">
      <c r="B25">
        <v>5</v>
      </c>
      <c r="C25" t="str">
        <f>IF(D25&gt;0, INDEX('LEADS &amp; RESULTS'!D$2:D$100, MATCH(D25, 'LEADS &amp; RESULTS'!H$2:H$100, 0)), "-")</f>
        <v>-</v>
      </c>
      <c r="D25">
        <f>IFERROR(LARGE('LEADS &amp; RESULTS'!H$2:H$100, 5), 0)</f>
        <v>0</v>
      </c>
      <c r="F25">
        <v>5</v>
      </c>
      <c r="G25" t="str">
        <f>IF(H25&gt;0, INDEX('LEADS &amp; RESULTS'!D$2:D$100, MATCH(H25, 'LEADS &amp; RESULTS'!J$2:J$100, 0)), "-")</f>
        <v>-</v>
      </c>
      <c r="H25">
        <f>IFERROR(LARGE('LEADS &amp; RESULTS'!J$2:J$100, 5), 0)</f>
        <v>0</v>
      </c>
    </row>
    <row r="27" spans="2:8" x14ac:dyDescent="0.25">
      <c r="B27" s="14" t="s">
        <v>252</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6</vt:i4>
      </vt:variant>
      <vt:variant>
        <vt:lpstr>Intervalos com Nome</vt:lpstr>
      </vt:variant>
      <vt:variant>
        <vt:i4>9</vt:i4>
      </vt:variant>
    </vt:vector>
  </HeadingPairs>
  <TitlesOfParts>
    <vt:vector size="15" baseType="lpstr">
      <vt:lpstr>README</vt:lpstr>
      <vt:lpstr>SETTINGS</vt:lpstr>
      <vt:lpstr>CALENDAR</vt:lpstr>
      <vt:lpstr>CONTENT BACKLOG</vt:lpstr>
      <vt:lpstr>LEADS &amp; RESULTS</vt:lpstr>
      <vt:lpstr>DASHBOARD</vt:lpstr>
      <vt:lpstr>AngleTypes</vt:lpstr>
      <vt:lpstr>ContentPillars</vt:lpstr>
      <vt:lpstr>CTAs</vt:lpstr>
      <vt:lpstr>FunnelStage</vt:lpstr>
      <vt:lpstr>KPIs</vt:lpstr>
      <vt:lpstr>Objectives</vt:lpstr>
      <vt:lpstr>Platforms</vt:lpstr>
      <vt:lpstr>PostTypes</vt:lpstr>
      <vt:lpstr>Statuses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2026-02-26T10:28:35Z</dcterms:created>
  <dcterms:modified xsi:type="dcterms:W3CDTF">2026-02-26T12:03:36Z</dcterms:modified>
  <cp:category/>
</cp:coreProperties>
</file>