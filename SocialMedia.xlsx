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SETTINGS" state="visible" r:id="rId5"/>
    <sheet sheetId="3" name="CALENDAR" state="visible" r:id="rId6"/>
    <sheet sheetId="4" name="CONTENT BACKLOG" state="visible" r:id="rId7"/>
    <sheet sheetId="5" name="LEADS &amp; RESULTS" state="visible" r:id="rId8"/>
    <sheet sheetId="6" name="DASHBOARD" state="visible" r:id="rId9"/>
  </sheets>
  <definedNames>
    <definedName name="Platforms">SETTINGS!$A$2:$A$20</definedName>
    <definedName name="PostTypes">SETTINGS!$B$2:$B$20</definedName>
    <definedName name="FunnelStage">SETTINGS!$C$2:$C$20</definedName>
    <definedName name="Objectives">SETTINGS!$D$2:$D$20</definedName>
    <definedName name="CTAs">SETTINGS!$E$2:$E$20</definedName>
    <definedName name="Statuses">SETTINGS!$F$2:$F$20</definedName>
    <definedName name="ContentPillars">SETTINGS!$G$2:$G$20</definedName>
    <definedName name="KPIs">SETTINGS!$I$2:$I$4</definedName>
    <definedName name="AngleTypes">SETTINGS!$J$2:$J$5</definedName>
  </definedNames>
  <calcPr calcId="171027"/>
</workbook>
</file>

<file path=xl/sharedStrings.xml><?xml version="1.0" encoding="utf-8"?>
<sst xmlns="http://schemas.openxmlformats.org/spreadsheetml/2006/main" count="897" uniqueCount="254">
  <si>
    <t>Planeamento de Redes Sociais - Guia Rápido</t>
  </si>
  <si>
    <t>Como usar o documento:</t>
  </si>
  <si>
    <t>• Use a sheet CALENDAR para planear os posts (tem 12 semanas focadas em Quartas e Sábados).</t>
  </si>
  <si>
    <t>• Use os menus dropdown nas colunas para garantir consistência dos dados.</t>
  </si>
  <si>
    <t>• Em SETTINGS, pode atualizar tipos de post, plataformas ou pilares (não altere a posição das tabelas a menos que atualize os limites definidos).</t>
  </si>
  <si>
    <t>• A sheet DASHBOARD dá-lhe um resumo automático do planeamento.</t>
  </si>
  <si>
    <t>• Use CONTENT BACKLOG para guardar ideias soltas sem data agendada.</t>
  </si>
  <si>
    <t>• Insira dados reais de performance na sheet LEADS &amp; RESULTS com consistência.</t>
  </si>
  <si>
    <t/>
  </si>
  <si>
    <t>Significado dos Estados (Status):</t>
  </si>
  <si>
    <t>• Idea: Apenas um conceito a explorar.</t>
  </si>
  <si>
    <t>• Draft: Textos a serem redigidos ou ativos em criação.</t>
  </si>
  <si>
    <t>• Needs Review: Aguarda aprovação do cliente ou diretor criativo.</t>
  </si>
  <si>
    <t>• Approved: Conteúdo validado e pronto para ser agendado.</t>
  </si>
  <si>
    <t>• Scheduled: Já carregado e programado na plataforma de redes sociais.</t>
  </si>
  <si>
    <t>• Published: Post já publicado e a correr online.</t>
  </si>
  <si>
    <t>• Repurpose: Post antigo a ser transformado em novo formato.</t>
  </si>
  <si>
    <t>• Archived: Ideia ou draft cancelado.</t>
  </si>
  <si>
    <t>Platforms</t>
  </si>
  <si>
    <t>Post Types</t>
  </si>
  <si>
    <t>Funnel Stage</t>
  </si>
  <si>
    <t>Objective</t>
  </si>
  <si>
    <t>CTA</t>
  </si>
  <si>
    <t>Status</t>
  </si>
  <si>
    <t>Content Pillars</t>
  </si>
  <si>
    <t>UTM Templates</t>
  </si>
  <si>
    <t>KPI Principal</t>
  </si>
  <si>
    <t>Angle Type</t>
  </si>
  <si>
    <t>Instagram</t>
  </si>
  <si>
    <t>Reels</t>
  </si>
  <si>
    <t>Awareness</t>
  </si>
  <si>
    <t>Traffic</t>
  </si>
  <si>
    <t>Pedir orçamento</t>
  </si>
  <si>
    <t>Idea</t>
  </si>
  <si>
    <t>Work/Portfolio</t>
  </si>
  <si>
    <t>utm_source</t>
  </si>
  <si>
    <t>Clicks</t>
  </si>
  <si>
    <t>Educativo</t>
  </si>
  <si>
    <t>Facebook</t>
  </si>
  <si>
    <t>Carousel</t>
  </si>
  <si>
    <t>Consideration</t>
  </si>
  <si>
    <t>Leads</t>
  </si>
  <si>
    <t>Ver portfólio</t>
  </si>
  <si>
    <t>Draft</t>
  </si>
  <si>
    <t>Behind the scenes</t>
  </si>
  <si>
    <t>utm_medium</t>
  </si>
  <si>
    <t>Autoridade</t>
  </si>
  <si>
    <t>LinkedIn</t>
  </si>
  <si>
    <t>Single Image</t>
  </si>
  <si>
    <t>Conversion</t>
  </si>
  <si>
    <t>Branding</t>
  </si>
  <si>
    <t>Ler artigo</t>
  </si>
  <si>
    <t>Needs Review</t>
  </si>
  <si>
    <t>Tips/Value</t>
  </si>
  <si>
    <t>utm_campaign</t>
  </si>
  <si>
    <t>Engagement</t>
  </si>
  <si>
    <t>Prova Social</t>
  </si>
  <si>
    <t>Story</t>
  </si>
  <si>
    <t>Community</t>
  </si>
  <si>
    <t>Contactar</t>
  </si>
  <si>
    <t>Approved</t>
  </si>
  <si>
    <t>Case studies</t>
  </si>
  <si>
    <t>utm_content</t>
  </si>
  <si>
    <t>Conversão</t>
  </si>
  <si>
    <t>Static Video</t>
  </si>
  <si>
    <t>Saber mais</t>
  </si>
  <si>
    <t>Scheduled</t>
  </si>
  <si>
    <t>Services</t>
  </si>
  <si>
    <t>Published</t>
  </si>
  <si>
    <t>Testimonials</t>
  </si>
  <si>
    <t>Repurpose</t>
  </si>
  <si>
    <t>Culture</t>
  </si>
  <si>
    <t>Archived</t>
  </si>
  <si>
    <t>Week</t>
  </si>
  <si>
    <t>Date</t>
  </si>
  <si>
    <t>Day</t>
  </si>
  <si>
    <t>Platform</t>
  </si>
  <si>
    <t>Content Pillar</t>
  </si>
  <si>
    <t>Post Type</t>
  </si>
  <si>
    <t>Topic/Angle</t>
  </si>
  <si>
    <t>Hook</t>
  </si>
  <si>
    <t>Caption PT</t>
  </si>
  <si>
    <t>Caption EN</t>
  </si>
  <si>
    <t>Link</t>
  </si>
  <si>
    <t>UTM Campaign</t>
  </si>
  <si>
    <t>Final URL with UTM</t>
  </si>
  <si>
    <t>Asset Needed</t>
  </si>
  <si>
    <t>Asset Type</t>
  </si>
  <si>
    <t>Asset Owner</t>
  </si>
  <si>
    <t>Copy Owner</t>
  </si>
  <si>
    <t>Due Date</t>
  </si>
  <si>
    <t>Approval</t>
  </si>
  <si>
    <t>Publish DateTime</t>
  </si>
  <si>
    <t>Notes</t>
  </si>
  <si>
    <t>Problem Being Addressed</t>
  </si>
  <si>
    <t>Quarta-feira</t>
  </si>
  <si>
    <t>Novo Projeto Lançado</t>
  </si>
  <si>
    <t>Vê como transformámos a marca X</t>
  </si>
  <si>
    <t>Exemplo de texto PT sobre: Novo Projeto Lançado</t>
  </si>
  <si>
    <t>EN text example about: Novo Projeto Lançado</t>
  </si>
  <si>
    <t>https://sueste.com/</t>
  </si>
  <si>
    <t>social_w1</t>
  </si>
  <si>
    <t>Sim</t>
  </si>
  <si>
    <t>Design</t>
  </si>
  <si>
    <t>Equipa Design</t>
  </si>
  <si>
    <t>Equipa Copy</t>
  </si>
  <si>
    <t>Não</t>
  </si>
  <si>
    <t>Desafio de crescimento e visibilidade B2B</t>
  </si>
  <si>
    <t>Sábado</t>
  </si>
  <si>
    <t>3 erros no design do site</t>
  </si>
  <si>
    <t>Estás a perder clientes se o teu site tem isto</t>
  </si>
  <si>
    <t>Exemplo de texto PT sobre: 3 erros no design do site</t>
  </si>
  <si>
    <t>EN text example about: 3 erros no design do site</t>
  </si>
  <si>
    <t>Reunião de brainstorm</t>
  </si>
  <si>
    <t>Espreita como nascem as ideias</t>
  </si>
  <si>
    <t>Exemplo de texto PT sobre: Reunião de brainstorm</t>
  </si>
  <si>
    <t>EN text example about: Reunião de brainstorm</t>
  </si>
  <si>
    <t>social_w2</t>
  </si>
  <si>
    <t>Pacote Criação Websites</t>
  </si>
  <si>
    <t>Precisa de um site novo este mês?</t>
  </si>
  <si>
    <t>Exemplo de texto PT sobre: Pacote Criação Websites</t>
  </si>
  <si>
    <t>EN text example about: Pacote Criação Websites</t>
  </si>
  <si>
    <t>O que dizem de nós</t>
  </si>
  <si>
    <t>"A Sueste mudou o nosso negócio"</t>
  </si>
  <si>
    <t>Exemplo de texto PT sobre: O que dizem de nós</t>
  </si>
  <si>
    <t>EN text example about: O que dizem de nós</t>
  </si>
  <si>
    <t>social_w3</t>
  </si>
  <si>
    <t>1 dia no nosso escritório</t>
  </si>
  <si>
    <t>Hoje a equipa da Sueste esteve focada em...</t>
  </si>
  <si>
    <t>Exemplo de texto PT sobre: 1 dia no nosso escritório</t>
  </si>
  <si>
    <t>EN text example about: 1 dia no nosso escritório</t>
  </si>
  <si>
    <t>Aumento de 200% tráfego</t>
  </si>
  <si>
    <t>Como fizemos o site Y crescer 200%</t>
  </si>
  <si>
    <t>Exemplo de texto PT sobre: Aumento de 200% tráfego</t>
  </si>
  <si>
    <t>EN text example about: Aumento de 200% tráfego</t>
  </si>
  <si>
    <t>social_w4</t>
  </si>
  <si>
    <t>social_w5</t>
  </si>
  <si>
    <t>social_w6</t>
  </si>
  <si>
    <t>social_w7</t>
  </si>
  <si>
    <t>social_w8</t>
  </si>
  <si>
    <t>social_w9</t>
  </si>
  <si>
    <t>social_w10</t>
  </si>
  <si>
    <t>social_w11</t>
  </si>
  <si>
    <t>social_w12</t>
  </si>
  <si>
    <t>Idea Title</t>
  </si>
  <si>
    <t>Description</t>
  </si>
  <si>
    <t>Priority</t>
  </si>
  <si>
    <t>Link/Reference</t>
  </si>
  <si>
    <t>O teu site afasta clientes?</t>
  </si>
  <si>
    <t>3 sinais de que o UI do teu site precisa de refactor urgente.</t>
  </si>
  <si>
    <t>Focar em métricas de bounce rate</t>
  </si>
  <si>
    <t>Alta</t>
  </si>
  <si>
    <t>sueste.com/blog/ui</t>
  </si>
  <si>
    <t>Sueste Behind the Scenes</t>
  </si>
  <si>
    <t>Como fazemos QA antes de um lançamento de site.</t>
  </si>
  <si>
    <t>Checklist de dev</t>
  </si>
  <si>
    <t>Média</t>
  </si>
  <si>
    <t>Aumentar Leads em B2B</t>
  </si>
  <si>
    <t>Porque formulários longos estão a matar a tua conversão.</t>
  </si>
  <si>
    <t>Mostrar antes e depois num mockup</t>
  </si>
  <si>
    <t>Cliente X: Crescimento de 150%</t>
  </si>
  <si>
    <t>Como refizemos a presença digital da marca X e aumentámos conversões.</t>
  </si>
  <si>
    <t>Vídeo focado nos dados reais.</t>
  </si>
  <si>
    <t>Branding não é só um logotipo</t>
  </si>
  <si>
    <t>O que o teu cliente realmente vê quando olha para a tua marca.</t>
  </si>
  <si>
    <t>Carrossel c/ exemplos visuais</t>
  </si>
  <si>
    <t>O nosso processo Criativo</t>
  </si>
  <si>
    <t>Da ideia ao design final no Figma.</t>
  </si>
  <si>
    <t>Reels em fast-forward</t>
  </si>
  <si>
    <t>Porque a Sueste?</t>
  </si>
  <si>
    <t>Diferenças entre uma agência genérica e uma focada em conversão e design premium.</t>
  </si>
  <si>
    <t>Ataque ao mercado de fast-food design</t>
  </si>
  <si>
    <t>Teste de 5 Segundos</t>
  </si>
  <si>
    <t>Pede ao utilizador para olhar para o site dele e dizer o que a empresa faz em 5s.</t>
  </si>
  <si>
    <t>Carrossel interativo</t>
  </si>
  <si>
    <t>O impacto do Copywriting</t>
  </si>
  <si>
    <t>Um bom design num site não salva um texto confuso.</t>
  </si>
  <si>
    <t>Exemplo prático de troca de H1</t>
  </si>
  <si>
    <t>Reações reais ao nosso trabalho</t>
  </si>
  <si>
    <t>Vídeo do cliente a ver a primeira versão do site.</t>
  </si>
  <si>
    <t>Se possível gravação de ecrã/voz</t>
  </si>
  <si>
    <t>Tipografia Importa</t>
  </si>
  <si>
    <t>Como fontes erradas afetam a credibilidade da tua empresa.</t>
  </si>
  <si>
    <t>Comparação Comic Sans vs Inter</t>
  </si>
  <si>
    <t>Baixa</t>
  </si>
  <si>
    <t>Design Systems</t>
  </si>
  <si>
    <t>Porque criamos sempre um System UI para os clientes escalarem.</t>
  </si>
  <si>
    <t>Explicar a utilidade</t>
  </si>
  <si>
    <t>UX vs UI</t>
  </si>
  <si>
    <t>Guerra de conceitos, qual a diferença?</t>
  </si>
  <si>
    <t>Meme ou gráfico simples</t>
  </si>
  <si>
    <t>Websites lentos</t>
  </si>
  <si>
    <t>Como perder clientes por causa de loading time.</t>
  </si>
  <si>
    <t>Mostrar testes no LightHouse.</t>
  </si>
  <si>
    <t>SEO + Design</t>
  </si>
  <si>
    <t>Eles têm de trabalhar juntos para funcionar. Explicar como.</t>
  </si>
  <si>
    <t>Focar em tags semânticas e hierarquia</t>
  </si>
  <si>
    <t>Os nossos valores</t>
  </si>
  <si>
    <t>Como a nossa cultura radical de honestidade impacta a tua entrega.</t>
  </si>
  <si>
    <t>Story com testemunho da equipa</t>
  </si>
  <si>
    <t>Como começar connosco?</t>
  </si>
  <si>
    <t>Passo a passo do onboarding de um novo cliente na Sueste.</t>
  </si>
  <si>
    <t>Simplificar a visão de processo</t>
  </si>
  <si>
    <t>Tendências 2026</t>
  </si>
  <si>
    <t>O que vai estar forte em web design este ano: Micro-interactions.</t>
  </si>
  <si>
    <t>Mostrar showcase</t>
  </si>
  <si>
    <t>Paletas de Cor</t>
  </si>
  <si>
    <t>Psicologia da cor no teu CTA, como aumentar o CTR apenas com uma cor.</t>
  </si>
  <si>
    <t>Mostrar A/B testing simulado</t>
  </si>
  <si>
    <t>Mito: Site só se faz uma vez</t>
  </si>
  <si>
    <t>Site como produto vivo que evolui com a empresa e com os utilizadores.</t>
  </si>
  <si>
    <t>Análise de evolução Iterativa</t>
  </si>
  <si>
    <t>A importância do Mobile</t>
  </si>
  <si>
    <t>Mais de 70% dos users vê o teu site no telemóvel. O teu site está preparado?</t>
  </si>
  <si>
    <t>Screen recording telemóvel</t>
  </si>
  <si>
    <t>Dark Mode UI</t>
  </si>
  <si>
    <t>Como desenhamos a versão dark do nosso portefólio com contrastes.</t>
  </si>
  <si>
    <t>Focus visual apurado</t>
  </si>
  <si>
    <t>Auditoria Gratuita</t>
  </si>
  <si>
    <t>Temos 5 auditorias grátis a sites este mês. Candita-te para a tua.</t>
  </si>
  <si>
    <t>Vagas limitadas mental trigger</t>
  </si>
  <si>
    <t>Erros de Navegação</t>
  </si>
  <si>
    <t>Menus confusos que matam a user journey antes de chegar ao fim.</t>
  </si>
  <si>
    <t>Red flags de navegação</t>
  </si>
  <si>
    <t>Testemunho: Empresa Y</t>
  </si>
  <si>
    <t>Como ajudámos a startup Y a faturar mais com uma alteração de layout.</t>
  </si>
  <si>
    <t>Citação direta e foto do cliente</t>
  </si>
  <si>
    <t>Post ID/URL</t>
  </si>
  <si>
    <t>Campaign</t>
  </si>
  <si>
    <t>Impressions</t>
  </si>
  <si>
    <t>Reach</t>
  </si>
  <si>
    <t>Engagements</t>
  </si>
  <si>
    <t>CTR</t>
  </si>
  <si>
    <t>CPL</t>
  </si>
  <si>
    <t>📊 DASHBOARD E MÉTRICAS</t>
  </si>
  <si>
    <t>Total Posts Planeados:</t>
  </si>
  <si>
    <t>ESTADOS DE PUBLICAÇÃO:</t>
  </si>
  <si>
    <t>Posts - Idea:</t>
  </si>
  <si>
    <t>Posts - Draft:</t>
  </si>
  <si>
    <t>Posts - Needs Review:</t>
  </si>
  <si>
    <t>Posts - Approved:</t>
  </si>
  <si>
    <t>Posts - Scheduled:</t>
  </si>
  <si>
    <t>Posts - Published:</t>
  </si>
  <si>
    <t>MÉTRICAS CORE GLOBAIS:</t>
  </si>
  <si>
    <t>Total Clicks:</t>
  </si>
  <si>
    <t>Total Leads:</t>
  </si>
  <si>
    <t>CTR Médio:</t>
  </si>
  <si>
    <t>🏆 TOP 5 POSTS (MÉTRICAS)</t>
  </si>
  <si>
    <t>Rank</t>
  </si>
  <si>
    <t>Campanha (Clicks)</t>
  </si>
  <si>
    <t>Qtd Clicks</t>
  </si>
  <si>
    <t>Campanha (Leads)</t>
  </si>
  <si>
    <t>Qtd Leads</t>
  </si>
  <si>
    <t>Nota: A tabela "Top 5" usa algoritmos simples. Pode haver repetição de campanha se existirem múltiplas com os mesmos números exactos.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</si>
</sst>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dd/mm/yyyy hh:mm"/>
    <numFmt numFmtId="166" formatCode="€#,##0.00"/>
  </numFmts>
  <fonts count="8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color rgb="FF4F81BD"/>
      <sz val="16"/>
    </font>
    <font>
      <b/>
    </font>
    <font>
      <b/>
      <color rgb="FF4F81BD"/>
    </font>
    <font>
      <b/>
      <color rgb="FF4F81BD"/>
      <sz val="14"/>
    </font>
    <font>
      <i/>
      <sz val="9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A6A6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10" fontId="4" fillId="0" borderId="0" xfId="0" applyNumberFormat="1" applyFont="1"/>
    <xf numFmtId="0" fontId="6" fillId="0" borderId="0" xfId="0" applyFont="1"/>
    <xf numFmtId="0" fontId="2" fillId="3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8" width="20" customWidth="1"/>
  </cols>
  <sheetData>
    <row r="1" spans="1:10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</row>
    <row r="2" spans="1:10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</row>
    <row r="3" spans="1:10" x14ac:dyDescent="0.25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41</v>
      </c>
      <c r="J3" t="s">
        <v>46</v>
      </c>
    </row>
    <row r="4" spans="1:10" x14ac:dyDescent="0.2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</row>
    <row r="5" spans="2:10" x14ac:dyDescent="0.25">
      <c r="B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J5" t="s">
        <v>63</v>
      </c>
    </row>
    <row r="6" spans="2:7" x14ac:dyDescent="0.25">
      <c r="B6" t="s">
        <v>64</v>
      </c>
      <c r="E6" t="s">
        <v>65</v>
      </c>
      <c r="F6" t="s">
        <v>66</v>
      </c>
      <c r="G6" t="s">
        <v>67</v>
      </c>
    </row>
    <row r="7" spans="6:7" x14ac:dyDescent="0.25">
      <c r="F7" t="s">
        <v>68</v>
      </c>
      <c r="G7" t="s">
        <v>69</v>
      </c>
    </row>
    <row r="8" spans="6:7" x14ac:dyDescent="0.25">
      <c r="F8" t="s">
        <v>70</v>
      </c>
      <c r="G8" t="s">
        <v>71</v>
      </c>
    </row>
    <row r="9" spans="6:6" x14ac:dyDescent="0.25">
      <c r="F9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4" width="15" customWidth="1"/>
    <col min="5" max="5" width="18" customWidth="1"/>
    <col min="6" max="8" width="15" customWidth="1"/>
    <col min="9" max="9" width="30" customWidth="1"/>
    <col min="10" max="10" width="35" customWidth="1"/>
    <col min="11" max="12" width="45" customWidth="1"/>
    <col min="13" max="13" width="20" customWidth="1"/>
    <col min="14" max="15" width="25" customWidth="1"/>
    <col min="16" max="16" width="45" customWidth="1"/>
    <col min="17" max="22" width="15" customWidth="1"/>
    <col min="23" max="23" width="12" customWidth="1"/>
    <col min="24" max="24" width="20" customWidth="1"/>
    <col min="25" max="25" width="30" customWidth="1"/>
    <col min="26" max="26" width="15" customWidth="1"/>
    <col min="27" max="27" width="18" customWidth="1"/>
    <col min="28" max="28" width="30" customWidth="1"/>
  </cols>
  <sheetData>
    <row r="1" spans="1:28" s="3" customFormat="1" x14ac:dyDescent="0.25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21</v>
      </c>
      <c r="H1" s="2" t="s">
        <v>20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22</v>
      </c>
      <c r="N1" s="2" t="s">
        <v>83</v>
      </c>
      <c r="O1" s="2" t="s">
        <v>84</v>
      </c>
      <c r="P1" s="2" t="s">
        <v>85</v>
      </c>
      <c r="Q1" s="2" t="s">
        <v>86</v>
      </c>
      <c r="R1" s="2" t="s">
        <v>87</v>
      </c>
      <c r="S1" s="2" t="s">
        <v>88</v>
      </c>
      <c r="T1" s="2" t="s">
        <v>89</v>
      </c>
      <c r="U1" s="2" t="s">
        <v>90</v>
      </c>
      <c r="V1" s="2" t="s">
        <v>23</v>
      </c>
      <c r="W1" s="2" t="s">
        <v>91</v>
      </c>
      <c r="X1" s="2" t="s">
        <v>92</v>
      </c>
      <c r="Y1" s="2" t="s">
        <v>93</v>
      </c>
      <c r="Z1" s="2" t="s">
        <v>26</v>
      </c>
      <c r="AA1" s="2" t="s">
        <v>27</v>
      </c>
      <c r="AB1" s="2" t="s">
        <v>94</v>
      </c>
    </row>
    <row r="2" spans="1:28" x14ac:dyDescent="0.25">
      <c r="A2">
        <v>1</v>
      </c>
      <c r="B2" s="4">
        <v>46085</v>
      </c>
      <c r="C2" t="s">
        <v>95</v>
      </c>
      <c r="D2" t="s">
        <v>28</v>
      </c>
      <c r="E2" t="s">
        <v>34</v>
      </c>
      <c r="F2" t="s">
        <v>39</v>
      </c>
      <c r="G2" t="s">
        <v>31</v>
      </c>
      <c r="H2" t="s">
        <v>40</v>
      </c>
      <c r="I2" t="s">
        <v>96</v>
      </c>
      <c r="J2" t="s">
        <v>97</v>
      </c>
      <c r="K2" t="s">
        <v>98</v>
      </c>
      <c r="L2" t="s">
        <v>99</v>
      </c>
      <c r="M2" t="s">
        <v>42</v>
      </c>
      <c r="N2" t="s">
        <v>100</v>
      </c>
      <c r="O2" t="s">
        <v>101</v>
      </c>
      <c r="P2">
        <f>IF(ISBLANK(N2), "", N2&amp;"?utm_source="&amp;LOWER(D2)&amp;"&amp;utm_medium=social&amp;utm_campaign="&amp;O2)</f>
      </c>
      <c r="Q2" t="s">
        <v>102</v>
      </c>
      <c r="R2" t="s">
        <v>103</v>
      </c>
      <c r="S2" t="s">
        <v>104</v>
      </c>
      <c r="T2" t="s">
        <v>105</v>
      </c>
      <c r="U2" s="4">
        <v>46082</v>
      </c>
      <c r="V2" t="s">
        <v>33</v>
      </c>
      <c r="W2" t="s">
        <v>106</v>
      </c>
      <c r="X2" s="5">
        <v>46085.45833333333</v>
      </c>
      <c r="Z2" t="s">
        <v>36</v>
      </c>
      <c r="AA2" t="s">
        <v>37</v>
      </c>
      <c r="AB2" t="s">
        <v>107</v>
      </c>
    </row>
    <row r="3" spans="1:28" x14ac:dyDescent="0.25">
      <c r="A3">
        <v>1</v>
      </c>
      <c r="B3" s="4">
        <v>46088</v>
      </c>
      <c r="C3" t="s">
        <v>108</v>
      </c>
      <c r="D3" t="s">
        <v>28</v>
      </c>
      <c r="E3" t="s">
        <v>53</v>
      </c>
      <c r="F3" t="s">
        <v>29</v>
      </c>
      <c r="G3" t="s">
        <v>41</v>
      </c>
      <c r="H3" t="s">
        <v>40</v>
      </c>
      <c r="I3" t="s">
        <v>109</v>
      </c>
      <c r="J3" t="s">
        <v>110</v>
      </c>
      <c r="K3" t="s">
        <v>111</v>
      </c>
      <c r="L3" t="s">
        <v>112</v>
      </c>
      <c r="M3" t="s">
        <v>32</v>
      </c>
      <c r="N3" t="s">
        <v>100</v>
      </c>
      <c r="O3" t="s">
        <v>101</v>
      </c>
      <c r="P3">
        <f>IF(ISBLANK(N3), "", N3&amp;"?utm_source="&amp;LOWER(D3)&amp;"&amp;utm_medium=social&amp;utm_campaign="&amp;O3)</f>
      </c>
      <c r="Q3" t="s">
        <v>102</v>
      </c>
      <c r="R3" t="s">
        <v>103</v>
      </c>
      <c r="S3" t="s">
        <v>104</v>
      </c>
      <c r="T3" t="s">
        <v>105</v>
      </c>
      <c r="U3" s="4">
        <v>46085</v>
      </c>
      <c r="V3" t="s">
        <v>33</v>
      </c>
      <c r="W3" t="s">
        <v>106</v>
      </c>
      <c r="X3" s="5">
        <v>46088.75</v>
      </c>
      <c r="Z3" t="s">
        <v>41</v>
      </c>
      <c r="AA3" t="s">
        <v>56</v>
      </c>
      <c r="AB3" t="s">
        <v>107</v>
      </c>
    </row>
    <row r="4" spans="1:28" x14ac:dyDescent="0.25">
      <c r="A4">
        <v>2</v>
      </c>
      <c r="B4" s="4">
        <v>46092</v>
      </c>
      <c r="C4" t="s">
        <v>95</v>
      </c>
      <c r="D4" t="s">
        <v>28</v>
      </c>
      <c r="E4" t="s">
        <v>44</v>
      </c>
      <c r="F4" t="s">
        <v>57</v>
      </c>
      <c r="G4" t="s">
        <v>58</v>
      </c>
      <c r="H4" t="s">
        <v>30</v>
      </c>
      <c r="I4" t="s">
        <v>113</v>
      </c>
      <c r="J4" t="s">
        <v>114</v>
      </c>
      <c r="K4" t="s">
        <v>115</v>
      </c>
      <c r="L4" t="s">
        <v>116</v>
      </c>
      <c r="M4" t="s">
        <v>65</v>
      </c>
      <c r="N4" t="s">
        <v>100</v>
      </c>
      <c r="O4" t="s">
        <v>117</v>
      </c>
      <c r="P4">
        <f>IF(ISBLANK(N4), "", N4&amp;"?utm_source="&amp;LOWER(D4)&amp;"&amp;utm_medium=social&amp;utm_campaign="&amp;O4)</f>
      </c>
      <c r="Q4" t="s">
        <v>102</v>
      </c>
      <c r="R4" t="s">
        <v>103</v>
      </c>
      <c r="S4" t="s">
        <v>104</v>
      </c>
      <c r="T4" t="s">
        <v>105</v>
      </c>
      <c r="U4" s="4">
        <v>46089</v>
      </c>
      <c r="V4" t="s">
        <v>33</v>
      </c>
      <c r="W4" t="s">
        <v>106</v>
      </c>
      <c r="X4" s="5">
        <v>46092.4375</v>
      </c>
      <c r="Z4" t="s">
        <v>55</v>
      </c>
      <c r="AA4" t="s">
        <v>46</v>
      </c>
      <c r="AB4" t="s">
        <v>107</v>
      </c>
    </row>
    <row r="5" spans="1:28" x14ac:dyDescent="0.25">
      <c r="A5">
        <v>2</v>
      </c>
      <c r="B5" s="4">
        <v>46095</v>
      </c>
      <c r="C5" t="s">
        <v>108</v>
      </c>
      <c r="D5" t="s">
        <v>28</v>
      </c>
      <c r="E5" t="s">
        <v>67</v>
      </c>
      <c r="F5" t="s">
        <v>48</v>
      </c>
      <c r="G5" t="s">
        <v>41</v>
      </c>
      <c r="H5" t="s">
        <v>49</v>
      </c>
      <c r="I5" t="s">
        <v>118</v>
      </c>
      <c r="J5" t="s">
        <v>119</v>
      </c>
      <c r="K5" t="s">
        <v>120</v>
      </c>
      <c r="L5" t="s">
        <v>121</v>
      </c>
      <c r="M5" t="s">
        <v>59</v>
      </c>
      <c r="N5" t="s">
        <v>100</v>
      </c>
      <c r="O5" t="s">
        <v>117</v>
      </c>
      <c r="P5">
        <f>IF(ISBLANK(N5), "", N5&amp;"?utm_source="&amp;LOWER(D5)&amp;"&amp;utm_medium=social&amp;utm_campaign="&amp;O5)</f>
      </c>
      <c r="Q5" t="s">
        <v>102</v>
      </c>
      <c r="R5" t="s">
        <v>103</v>
      </c>
      <c r="S5" t="s">
        <v>104</v>
      </c>
      <c r="T5" t="s">
        <v>105</v>
      </c>
      <c r="U5" s="4">
        <v>46092</v>
      </c>
      <c r="V5" t="s">
        <v>33</v>
      </c>
      <c r="W5" t="s">
        <v>106</v>
      </c>
      <c r="X5" s="5">
        <v>46095.58333333333</v>
      </c>
      <c r="Z5" t="s">
        <v>41</v>
      </c>
      <c r="AA5" t="s">
        <v>63</v>
      </c>
      <c r="AB5" t="s">
        <v>107</v>
      </c>
    </row>
    <row r="6" spans="1:28" x14ac:dyDescent="0.25">
      <c r="A6">
        <v>3</v>
      </c>
      <c r="B6" s="4">
        <v>46099</v>
      </c>
      <c r="C6" t="s">
        <v>95</v>
      </c>
      <c r="D6" t="s">
        <v>28</v>
      </c>
      <c r="E6" t="s">
        <v>69</v>
      </c>
      <c r="F6" t="s">
        <v>64</v>
      </c>
      <c r="G6" t="s">
        <v>50</v>
      </c>
      <c r="H6" t="s">
        <v>40</v>
      </c>
      <c r="I6" t="s">
        <v>122</v>
      </c>
      <c r="J6" t="s">
        <v>123</v>
      </c>
      <c r="K6" t="s">
        <v>124</v>
      </c>
      <c r="L6" t="s">
        <v>125</v>
      </c>
      <c r="M6" t="s">
        <v>42</v>
      </c>
      <c r="N6" t="s">
        <v>100</v>
      </c>
      <c r="O6" t="s">
        <v>126</v>
      </c>
      <c r="P6">
        <f>IF(ISBLANK(N6), "", N6&amp;"?utm_source="&amp;LOWER(D6)&amp;"&amp;utm_medium=social&amp;utm_campaign="&amp;O6)</f>
      </c>
      <c r="Q6" t="s">
        <v>102</v>
      </c>
      <c r="R6" t="s">
        <v>103</v>
      </c>
      <c r="S6" t="s">
        <v>104</v>
      </c>
      <c r="T6" t="s">
        <v>105</v>
      </c>
      <c r="U6" s="4">
        <v>46096</v>
      </c>
      <c r="V6" t="s">
        <v>33</v>
      </c>
      <c r="W6" t="s">
        <v>106</v>
      </c>
      <c r="X6" s="5">
        <v>46099.72916666667</v>
      </c>
      <c r="Z6" t="s">
        <v>55</v>
      </c>
      <c r="AA6" t="s">
        <v>37</v>
      </c>
      <c r="AB6" t="s">
        <v>107</v>
      </c>
    </row>
    <row r="7" spans="1:28" x14ac:dyDescent="0.25">
      <c r="A7">
        <v>3</v>
      </c>
      <c r="B7" s="4">
        <v>46102</v>
      </c>
      <c r="C7" t="s">
        <v>108</v>
      </c>
      <c r="D7" t="s">
        <v>28</v>
      </c>
      <c r="E7" t="s">
        <v>71</v>
      </c>
      <c r="F7" t="s">
        <v>39</v>
      </c>
      <c r="G7" t="s">
        <v>58</v>
      </c>
      <c r="H7" t="s">
        <v>30</v>
      </c>
      <c r="I7" t="s">
        <v>127</v>
      </c>
      <c r="J7" t="s">
        <v>128</v>
      </c>
      <c r="K7" t="s">
        <v>129</v>
      </c>
      <c r="L7" t="s">
        <v>130</v>
      </c>
      <c r="M7" t="s">
        <v>65</v>
      </c>
      <c r="N7" t="s">
        <v>100</v>
      </c>
      <c r="O7" t="s">
        <v>126</v>
      </c>
      <c r="P7">
        <f>IF(ISBLANK(N7), "", N7&amp;"?utm_source="&amp;LOWER(D7)&amp;"&amp;utm_medium=social&amp;utm_campaign="&amp;O7)</f>
      </c>
      <c r="Q7" t="s">
        <v>102</v>
      </c>
      <c r="R7" t="s">
        <v>103</v>
      </c>
      <c r="S7" t="s">
        <v>104</v>
      </c>
      <c r="T7" t="s">
        <v>105</v>
      </c>
      <c r="U7" s="4">
        <v>46099</v>
      </c>
      <c r="V7" t="s">
        <v>33</v>
      </c>
      <c r="W7" t="s">
        <v>106</v>
      </c>
      <c r="X7" s="5">
        <v>46102.375</v>
      </c>
      <c r="Z7" t="s">
        <v>55</v>
      </c>
      <c r="AA7" t="s">
        <v>46</v>
      </c>
      <c r="AB7" t="s">
        <v>107</v>
      </c>
    </row>
    <row r="8" spans="1:28" x14ac:dyDescent="0.25">
      <c r="A8">
        <v>4</v>
      </c>
      <c r="B8" s="4">
        <v>46106</v>
      </c>
      <c r="C8" t="s">
        <v>95</v>
      </c>
      <c r="D8" t="s">
        <v>28</v>
      </c>
      <c r="E8" t="s">
        <v>61</v>
      </c>
      <c r="F8" t="s">
        <v>29</v>
      </c>
      <c r="G8" t="s">
        <v>31</v>
      </c>
      <c r="H8" t="s">
        <v>40</v>
      </c>
      <c r="I8" t="s">
        <v>131</v>
      </c>
      <c r="J8" t="s">
        <v>132</v>
      </c>
      <c r="K8" t="s">
        <v>133</v>
      </c>
      <c r="L8" t="s">
        <v>134</v>
      </c>
      <c r="M8" t="s">
        <v>51</v>
      </c>
      <c r="N8" t="s">
        <v>100</v>
      </c>
      <c r="O8" t="s">
        <v>135</v>
      </c>
      <c r="P8">
        <f>IF(ISBLANK(N8), "", N8&amp;"?utm_source="&amp;LOWER(D8)&amp;"&amp;utm_medium=social&amp;utm_campaign="&amp;O8)</f>
      </c>
      <c r="Q8" t="s">
        <v>102</v>
      </c>
      <c r="R8" t="s">
        <v>103</v>
      </c>
      <c r="S8" t="s">
        <v>104</v>
      </c>
      <c r="T8" t="s">
        <v>105</v>
      </c>
      <c r="U8" s="4">
        <v>46103</v>
      </c>
      <c r="V8" t="s">
        <v>33</v>
      </c>
      <c r="W8" t="s">
        <v>106</v>
      </c>
      <c r="X8" s="5">
        <v>46106.79166666667</v>
      </c>
      <c r="Z8" t="s">
        <v>36</v>
      </c>
      <c r="AA8" t="s">
        <v>37</v>
      </c>
      <c r="AB8" t="s">
        <v>107</v>
      </c>
    </row>
    <row r="9" spans="1:28" x14ac:dyDescent="0.25">
      <c r="A9">
        <v>4</v>
      </c>
      <c r="B9" s="4">
        <v>46109</v>
      </c>
      <c r="C9" t="s">
        <v>108</v>
      </c>
      <c r="D9" t="s">
        <v>28</v>
      </c>
      <c r="E9" t="s">
        <v>34</v>
      </c>
      <c r="F9" t="s">
        <v>39</v>
      </c>
      <c r="G9" t="s">
        <v>31</v>
      </c>
      <c r="H9" t="s">
        <v>40</v>
      </c>
      <c r="I9" t="s">
        <v>96</v>
      </c>
      <c r="J9" t="s">
        <v>97</v>
      </c>
      <c r="K9" t="s">
        <v>98</v>
      </c>
      <c r="L9" t="s">
        <v>99</v>
      </c>
      <c r="M9" t="s">
        <v>42</v>
      </c>
      <c r="N9" t="s">
        <v>100</v>
      </c>
      <c r="O9" t="s">
        <v>135</v>
      </c>
      <c r="P9">
        <f>IF(ISBLANK(N9), "", N9&amp;"?utm_source="&amp;LOWER(D9)&amp;"&amp;utm_medium=social&amp;utm_campaign="&amp;O9)</f>
      </c>
      <c r="Q9" t="s">
        <v>102</v>
      </c>
      <c r="R9" t="s">
        <v>103</v>
      </c>
      <c r="S9" t="s">
        <v>104</v>
      </c>
      <c r="T9" t="s">
        <v>105</v>
      </c>
      <c r="U9" s="4">
        <v>46106</v>
      </c>
      <c r="V9" t="s">
        <v>33</v>
      </c>
      <c r="W9" t="s">
        <v>106</v>
      </c>
      <c r="X9" s="5">
        <v>46109.45833333333</v>
      </c>
      <c r="Z9" t="s">
        <v>36</v>
      </c>
      <c r="AA9" t="s">
        <v>37</v>
      </c>
      <c r="AB9" t="s">
        <v>107</v>
      </c>
    </row>
    <row r="10" spans="1:28" x14ac:dyDescent="0.25">
      <c r="A10">
        <v>5</v>
      </c>
      <c r="B10" s="4">
        <v>46112.95833333333</v>
      </c>
      <c r="C10" t="s">
        <v>95</v>
      </c>
      <c r="D10" t="s">
        <v>28</v>
      </c>
      <c r="E10" t="s">
        <v>53</v>
      </c>
      <c r="F10" t="s">
        <v>29</v>
      </c>
      <c r="G10" t="s">
        <v>41</v>
      </c>
      <c r="H10" t="s">
        <v>40</v>
      </c>
      <c r="I10" t="s">
        <v>109</v>
      </c>
      <c r="J10" t="s">
        <v>110</v>
      </c>
      <c r="K10" t="s">
        <v>111</v>
      </c>
      <c r="L10" t="s">
        <v>112</v>
      </c>
      <c r="M10" t="s">
        <v>32</v>
      </c>
      <c r="N10" t="s">
        <v>100</v>
      </c>
      <c r="O10" t="s">
        <v>136</v>
      </c>
      <c r="P10">
        <f>IF(ISBLANK(N10), "", N10&amp;"?utm_source="&amp;LOWER(D10)&amp;"&amp;utm_medium=social&amp;utm_campaign="&amp;O10)</f>
      </c>
      <c r="Q10" t="s">
        <v>102</v>
      </c>
      <c r="R10" t="s">
        <v>103</v>
      </c>
      <c r="S10" t="s">
        <v>104</v>
      </c>
      <c r="T10" t="s">
        <v>105</v>
      </c>
      <c r="U10" s="4">
        <v>46110</v>
      </c>
      <c r="V10" t="s">
        <v>33</v>
      </c>
      <c r="W10" t="s">
        <v>106</v>
      </c>
      <c r="X10" s="5">
        <v>46113.70833333333</v>
      </c>
      <c r="Z10" t="s">
        <v>41</v>
      </c>
      <c r="AA10" t="s">
        <v>56</v>
      </c>
      <c r="AB10" t="s">
        <v>107</v>
      </c>
    </row>
    <row r="11" spans="1:28" x14ac:dyDescent="0.25">
      <c r="A11">
        <v>5</v>
      </c>
      <c r="B11" s="4">
        <v>46115.95833333333</v>
      </c>
      <c r="C11" t="s">
        <v>108</v>
      </c>
      <c r="D11" t="s">
        <v>28</v>
      </c>
      <c r="E11" t="s">
        <v>44</v>
      </c>
      <c r="F11" t="s">
        <v>57</v>
      </c>
      <c r="G11" t="s">
        <v>58</v>
      </c>
      <c r="H11" t="s">
        <v>30</v>
      </c>
      <c r="I11" t="s">
        <v>113</v>
      </c>
      <c r="J11" t="s">
        <v>114</v>
      </c>
      <c r="K11" t="s">
        <v>115</v>
      </c>
      <c r="L11" t="s">
        <v>116</v>
      </c>
      <c r="M11" t="s">
        <v>65</v>
      </c>
      <c r="N11" t="s">
        <v>100</v>
      </c>
      <c r="O11" t="s">
        <v>136</v>
      </c>
      <c r="P11">
        <f>IF(ISBLANK(N11), "", N11&amp;"?utm_source="&amp;LOWER(D11)&amp;"&amp;utm_medium=social&amp;utm_campaign="&amp;O11)</f>
      </c>
      <c r="Q11" t="s">
        <v>102</v>
      </c>
      <c r="R11" t="s">
        <v>103</v>
      </c>
      <c r="S11" t="s">
        <v>104</v>
      </c>
      <c r="T11" t="s">
        <v>105</v>
      </c>
      <c r="U11" s="4">
        <v>46112.95833333333</v>
      </c>
      <c r="V11" t="s">
        <v>33</v>
      </c>
      <c r="W11" t="s">
        <v>106</v>
      </c>
      <c r="X11" s="5">
        <v>46116.39583333333</v>
      </c>
      <c r="Z11" t="s">
        <v>55</v>
      </c>
      <c r="AA11" t="s">
        <v>46</v>
      </c>
      <c r="AB11" t="s">
        <v>107</v>
      </c>
    </row>
    <row r="12" spans="1:28" x14ac:dyDescent="0.25">
      <c r="A12">
        <v>6</v>
      </c>
      <c r="B12" s="4">
        <v>46119.95833333333</v>
      </c>
      <c r="C12" t="s">
        <v>95</v>
      </c>
      <c r="D12" t="s">
        <v>28</v>
      </c>
      <c r="E12" t="s">
        <v>67</v>
      </c>
      <c r="F12" t="s">
        <v>48</v>
      </c>
      <c r="G12" t="s">
        <v>41</v>
      </c>
      <c r="H12" t="s">
        <v>49</v>
      </c>
      <c r="I12" t="s">
        <v>118</v>
      </c>
      <c r="J12" t="s">
        <v>119</v>
      </c>
      <c r="K12" t="s">
        <v>120</v>
      </c>
      <c r="L12" t="s">
        <v>121</v>
      </c>
      <c r="M12" t="s">
        <v>59</v>
      </c>
      <c r="N12" t="s">
        <v>100</v>
      </c>
      <c r="O12" t="s">
        <v>137</v>
      </c>
      <c r="P12">
        <f>IF(ISBLANK(N12), "", N12&amp;"?utm_source="&amp;LOWER(D12)&amp;"&amp;utm_medium=social&amp;utm_campaign="&amp;O12)</f>
      </c>
      <c r="Q12" t="s">
        <v>102</v>
      </c>
      <c r="R12" t="s">
        <v>103</v>
      </c>
      <c r="S12" t="s">
        <v>104</v>
      </c>
      <c r="T12" t="s">
        <v>105</v>
      </c>
      <c r="U12" s="4">
        <v>46116.95833333333</v>
      </c>
      <c r="V12" t="s">
        <v>33</v>
      </c>
      <c r="W12" t="s">
        <v>106</v>
      </c>
      <c r="X12" s="5">
        <v>46120.54166666667</v>
      </c>
      <c r="Z12" t="s">
        <v>41</v>
      </c>
      <c r="AA12" t="s">
        <v>63</v>
      </c>
      <c r="AB12" t="s">
        <v>107</v>
      </c>
    </row>
    <row r="13" spans="1:28" x14ac:dyDescent="0.25">
      <c r="A13">
        <v>6</v>
      </c>
      <c r="B13" s="4">
        <v>46122.95833333333</v>
      </c>
      <c r="C13" t="s">
        <v>108</v>
      </c>
      <c r="D13" t="s">
        <v>28</v>
      </c>
      <c r="E13" t="s">
        <v>69</v>
      </c>
      <c r="F13" t="s">
        <v>64</v>
      </c>
      <c r="G13" t="s">
        <v>50</v>
      </c>
      <c r="H13" t="s">
        <v>40</v>
      </c>
      <c r="I13" t="s">
        <v>122</v>
      </c>
      <c r="J13" t="s">
        <v>123</v>
      </c>
      <c r="K13" t="s">
        <v>124</v>
      </c>
      <c r="L13" t="s">
        <v>125</v>
      </c>
      <c r="M13" t="s">
        <v>42</v>
      </c>
      <c r="N13" t="s">
        <v>100</v>
      </c>
      <c r="O13" t="s">
        <v>137</v>
      </c>
      <c r="P13">
        <f>IF(ISBLANK(N13), "", N13&amp;"?utm_source="&amp;LOWER(D13)&amp;"&amp;utm_medium=social&amp;utm_campaign="&amp;O13)</f>
      </c>
      <c r="Q13" t="s">
        <v>102</v>
      </c>
      <c r="R13" t="s">
        <v>103</v>
      </c>
      <c r="S13" t="s">
        <v>104</v>
      </c>
      <c r="T13" t="s">
        <v>105</v>
      </c>
      <c r="U13" s="4">
        <v>46119.95833333333</v>
      </c>
      <c r="V13" t="s">
        <v>33</v>
      </c>
      <c r="W13" t="s">
        <v>106</v>
      </c>
      <c r="X13" s="5">
        <v>46123.6875</v>
      </c>
      <c r="Z13" t="s">
        <v>55</v>
      </c>
      <c r="AA13" t="s">
        <v>37</v>
      </c>
      <c r="AB13" t="s">
        <v>107</v>
      </c>
    </row>
    <row r="14" spans="1:28" x14ac:dyDescent="0.25">
      <c r="A14">
        <v>7</v>
      </c>
      <c r="B14" s="4">
        <v>46126.95833333333</v>
      </c>
      <c r="C14" t="s">
        <v>95</v>
      </c>
      <c r="D14" t="s">
        <v>28</v>
      </c>
      <c r="E14" t="s">
        <v>71</v>
      </c>
      <c r="F14" t="s">
        <v>39</v>
      </c>
      <c r="G14" t="s">
        <v>58</v>
      </c>
      <c r="H14" t="s">
        <v>30</v>
      </c>
      <c r="I14" t="s">
        <v>127</v>
      </c>
      <c r="J14" t="s">
        <v>128</v>
      </c>
      <c r="K14" t="s">
        <v>129</v>
      </c>
      <c r="L14" t="s">
        <v>130</v>
      </c>
      <c r="M14" t="s">
        <v>65</v>
      </c>
      <c r="N14" t="s">
        <v>100</v>
      </c>
      <c r="O14" t="s">
        <v>138</v>
      </c>
      <c r="P14">
        <f>IF(ISBLANK(N14), "", N14&amp;"?utm_source="&amp;LOWER(D14)&amp;"&amp;utm_medium=social&amp;utm_campaign="&amp;O14)</f>
      </c>
      <c r="Q14" t="s">
        <v>102</v>
      </c>
      <c r="R14" t="s">
        <v>103</v>
      </c>
      <c r="S14" t="s">
        <v>104</v>
      </c>
      <c r="T14" t="s">
        <v>105</v>
      </c>
      <c r="U14" s="4">
        <v>46123.95833333333</v>
      </c>
      <c r="V14" t="s">
        <v>33</v>
      </c>
      <c r="W14" t="s">
        <v>106</v>
      </c>
      <c r="X14" s="5">
        <v>46127.33333333333</v>
      </c>
      <c r="Z14" t="s">
        <v>55</v>
      </c>
      <c r="AA14" t="s">
        <v>46</v>
      </c>
      <c r="AB14" t="s">
        <v>107</v>
      </c>
    </row>
    <row r="15" spans="1:28" x14ac:dyDescent="0.25">
      <c r="A15">
        <v>7</v>
      </c>
      <c r="B15" s="4">
        <v>46129.95833333333</v>
      </c>
      <c r="C15" t="s">
        <v>108</v>
      </c>
      <c r="D15" t="s">
        <v>28</v>
      </c>
      <c r="E15" t="s">
        <v>61</v>
      </c>
      <c r="F15" t="s">
        <v>29</v>
      </c>
      <c r="G15" t="s">
        <v>31</v>
      </c>
      <c r="H15" t="s">
        <v>40</v>
      </c>
      <c r="I15" t="s">
        <v>131</v>
      </c>
      <c r="J15" t="s">
        <v>132</v>
      </c>
      <c r="K15" t="s">
        <v>133</v>
      </c>
      <c r="L15" t="s">
        <v>134</v>
      </c>
      <c r="M15" t="s">
        <v>51</v>
      </c>
      <c r="N15" t="s">
        <v>100</v>
      </c>
      <c r="O15" t="s">
        <v>138</v>
      </c>
      <c r="P15">
        <f>IF(ISBLANK(N15), "", N15&amp;"?utm_source="&amp;LOWER(D15)&amp;"&amp;utm_medium=social&amp;utm_campaign="&amp;O15)</f>
      </c>
      <c r="Q15" t="s">
        <v>102</v>
      </c>
      <c r="R15" t="s">
        <v>103</v>
      </c>
      <c r="S15" t="s">
        <v>104</v>
      </c>
      <c r="T15" t="s">
        <v>105</v>
      </c>
      <c r="U15" s="4">
        <v>46126.95833333333</v>
      </c>
      <c r="V15" t="s">
        <v>33</v>
      </c>
      <c r="W15" t="s">
        <v>106</v>
      </c>
      <c r="X15" s="5">
        <v>46130.75</v>
      </c>
      <c r="Z15" t="s">
        <v>36</v>
      </c>
      <c r="AA15" t="s">
        <v>37</v>
      </c>
      <c r="AB15" t="s">
        <v>107</v>
      </c>
    </row>
    <row r="16" spans="1:28" x14ac:dyDescent="0.25">
      <c r="A16">
        <v>8</v>
      </c>
      <c r="B16" s="4">
        <v>46133.95833333333</v>
      </c>
      <c r="C16" t="s">
        <v>95</v>
      </c>
      <c r="D16" t="s">
        <v>28</v>
      </c>
      <c r="E16" t="s">
        <v>34</v>
      </c>
      <c r="F16" t="s">
        <v>39</v>
      </c>
      <c r="G16" t="s">
        <v>31</v>
      </c>
      <c r="H16" t="s">
        <v>40</v>
      </c>
      <c r="I16" t="s">
        <v>96</v>
      </c>
      <c r="J16" t="s">
        <v>97</v>
      </c>
      <c r="K16" t="s">
        <v>98</v>
      </c>
      <c r="L16" t="s">
        <v>99</v>
      </c>
      <c r="M16" t="s">
        <v>42</v>
      </c>
      <c r="N16" t="s">
        <v>100</v>
      </c>
      <c r="O16" t="s">
        <v>139</v>
      </c>
      <c r="P16">
        <f>IF(ISBLANK(N16), "", N16&amp;"?utm_source="&amp;LOWER(D16)&amp;"&amp;utm_medium=social&amp;utm_campaign="&amp;O16)</f>
      </c>
      <c r="Q16" t="s">
        <v>102</v>
      </c>
      <c r="R16" t="s">
        <v>103</v>
      </c>
      <c r="S16" t="s">
        <v>104</v>
      </c>
      <c r="T16" t="s">
        <v>105</v>
      </c>
      <c r="U16" s="4">
        <v>46130.95833333333</v>
      </c>
      <c r="V16" t="s">
        <v>33</v>
      </c>
      <c r="W16" t="s">
        <v>106</v>
      </c>
      <c r="X16" s="5">
        <v>46134.41666666667</v>
      </c>
      <c r="Z16" t="s">
        <v>36</v>
      </c>
      <c r="AA16" t="s">
        <v>37</v>
      </c>
      <c r="AB16" t="s">
        <v>107</v>
      </c>
    </row>
    <row r="17" spans="1:28" x14ac:dyDescent="0.25">
      <c r="A17">
        <v>8</v>
      </c>
      <c r="B17" s="4">
        <v>46136.95833333333</v>
      </c>
      <c r="C17" t="s">
        <v>108</v>
      </c>
      <c r="D17" t="s">
        <v>28</v>
      </c>
      <c r="E17" t="s">
        <v>53</v>
      </c>
      <c r="F17" t="s">
        <v>29</v>
      </c>
      <c r="G17" t="s">
        <v>41</v>
      </c>
      <c r="H17" t="s">
        <v>40</v>
      </c>
      <c r="I17" t="s">
        <v>109</v>
      </c>
      <c r="J17" t="s">
        <v>110</v>
      </c>
      <c r="K17" t="s">
        <v>111</v>
      </c>
      <c r="L17" t="s">
        <v>112</v>
      </c>
      <c r="M17" t="s">
        <v>32</v>
      </c>
      <c r="N17" t="s">
        <v>100</v>
      </c>
      <c r="O17" t="s">
        <v>139</v>
      </c>
      <c r="P17">
        <f>IF(ISBLANK(N17), "", N17&amp;"?utm_source="&amp;LOWER(D17)&amp;"&amp;utm_medium=social&amp;utm_campaign="&amp;O17)</f>
      </c>
      <c r="Q17" t="s">
        <v>102</v>
      </c>
      <c r="R17" t="s">
        <v>103</v>
      </c>
      <c r="S17" t="s">
        <v>104</v>
      </c>
      <c r="T17" t="s">
        <v>105</v>
      </c>
      <c r="U17" s="4">
        <v>46133.95833333333</v>
      </c>
      <c r="V17" t="s">
        <v>33</v>
      </c>
      <c r="W17" t="s">
        <v>106</v>
      </c>
      <c r="X17" s="5">
        <v>46137.70833333333</v>
      </c>
      <c r="Z17" t="s">
        <v>41</v>
      </c>
      <c r="AA17" t="s">
        <v>56</v>
      </c>
      <c r="AB17" t="s">
        <v>107</v>
      </c>
    </row>
    <row r="18" spans="1:28" x14ac:dyDescent="0.25">
      <c r="A18">
        <v>9</v>
      </c>
      <c r="B18" s="4">
        <v>46140.95833333333</v>
      </c>
      <c r="C18" t="s">
        <v>95</v>
      </c>
      <c r="D18" t="s">
        <v>28</v>
      </c>
      <c r="E18" t="s">
        <v>44</v>
      </c>
      <c r="F18" t="s">
        <v>57</v>
      </c>
      <c r="G18" t="s">
        <v>58</v>
      </c>
      <c r="H18" t="s">
        <v>30</v>
      </c>
      <c r="I18" t="s">
        <v>113</v>
      </c>
      <c r="J18" t="s">
        <v>114</v>
      </c>
      <c r="K18" t="s">
        <v>115</v>
      </c>
      <c r="L18" t="s">
        <v>116</v>
      </c>
      <c r="M18" t="s">
        <v>65</v>
      </c>
      <c r="N18" t="s">
        <v>100</v>
      </c>
      <c r="O18" t="s">
        <v>140</v>
      </c>
      <c r="P18">
        <f>IF(ISBLANK(N18), "", N18&amp;"?utm_source="&amp;LOWER(D18)&amp;"&amp;utm_medium=social&amp;utm_campaign="&amp;O18)</f>
      </c>
      <c r="Q18" t="s">
        <v>102</v>
      </c>
      <c r="R18" t="s">
        <v>103</v>
      </c>
      <c r="S18" t="s">
        <v>104</v>
      </c>
      <c r="T18" t="s">
        <v>105</v>
      </c>
      <c r="U18" s="4">
        <v>46137.95833333333</v>
      </c>
      <c r="V18" t="s">
        <v>33</v>
      </c>
      <c r="W18" t="s">
        <v>106</v>
      </c>
      <c r="X18" s="5">
        <v>46141.39583333333</v>
      </c>
      <c r="Z18" t="s">
        <v>55</v>
      </c>
      <c r="AA18" t="s">
        <v>46</v>
      </c>
      <c r="AB18" t="s">
        <v>107</v>
      </c>
    </row>
    <row r="19" spans="1:28" x14ac:dyDescent="0.25">
      <c r="A19">
        <v>9</v>
      </c>
      <c r="B19" s="4">
        <v>46143.95833333333</v>
      </c>
      <c r="C19" t="s">
        <v>108</v>
      </c>
      <c r="D19" t="s">
        <v>28</v>
      </c>
      <c r="E19" t="s">
        <v>67</v>
      </c>
      <c r="F19" t="s">
        <v>48</v>
      </c>
      <c r="G19" t="s">
        <v>41</v>
      </c>
      <c r="H19" t="s">
        <v>49</v>
      </c>
      <c r="I19" t="s">
        <v>118</v>
      </c>
      <c r="J19" t="s">
        <v>119</v>
      </c>
      <c r="K19" t="s">
        <v>120</v>
      </c>
      <c r="L19" t="s">
        <v>121</v>
      </c>
      <c r="M19" t="s">
        <v>59</v>
      </c>
      <c r="N19" t="s">
        <v>100</v>
      </c>
      <c r="O19" t="s">
        <v>140</v>
      </c>
      <c r="P19">
        <f>IF(ISBLANK(N19), "", N19&amp;"?utm_source="&amp;LOWER(D19)&amp;"&amp;utm_medium=social&amp;utm_campaign="&amp;O19)</f>
      </c>
      <c r="Q19" t="s">
        <v>102</v>
      </c>
      <c r="R19" t="s">
        <v>103</v>
      </c>
      <c r="S19" t="s">
        <v>104</v>
      </c>
      <c r="T19" t="s">
        <v>105</v>
      </c>
      <c r="U19" s="4">
        <v>46140.95833333333</v>
      </c>
      <c r="V19" t="s">
        <v>33</v>
      </c>
      <c r="W19" t="s">
        <v>106</v>
      </c>
      <c r="X19" s="5">
        <v>46144.54166666667</v>
      </c>
      <c r="Z19" t="s">
        <v>41</v>
      </c>
      <c r="AA19" t="s">
        <v>63</v>
      </c>
      <c r="AB19" t="s">
        <v>107</v>
      </c>
    </row>
    <row r="20" spans="1:28" x14ac:dyDescent="0.25">
      <c r="A20">
        <v>10</v>
      </c>
      <c r="B20" s="4">
        <v>46147.95833333333</v>
      </c>
      <c r="C20" t="s">
        <v>95</v>
      </c>
      <c r="D20" t="s">
        <v>28</v>
      </c>
      <c r="E20" t="s">
        <v>69</v>
      </c>
      <c r="F20" t="s">
        <v>64</v>
      </c>
      <c r="G20" t="s">
        <v>50</v>
      </c>
      <c r="H20" t="s">
        <v>40</v>
      </c>
      <c r="I20" t="s">
        <v>122</v>
      </c>
      <c r="J20" t="s">
        <v>123</v>
      </c>
      <c r="K20" t="s">
        <v>124</v>
      </c>
      <c r="L20" t="s">
        <v>125</v>
      </c>
      <c r="M20" t="s">
        <v>42</v>
      </c>
      <c r="N20" t="s">
        <v>100</v>
      </c>
      <c r="O20" t="s">
        <v>141</v>
      </c>
      <c r="P20">
        <f>IF(ISBLANK(N20), "", N20&amp;"?utm_source="&amp;LOWER(D20)&amp;"&amp;utm_medium=social&amp;utm_campaign="&amp;O20)</f>
      </c>
      <c r="Q20" t="s">
        <v>102</v>
      </c>
      <c r="R20" t="s">
        <v>103</v>
      </c>
      <c r="S20" t="s">
        <v>104</v>
      </c>
      <c r="T20" t="s">
        <v>105</v>
      </c>
      <c r="U20" s="4">
        <v>46144.95833333333</v>
      </c>
      <c r="V20" t="s">
        <v>33</v>
      </c>
      <c r="W20" t="s">
        <v>106</v>
      </c>
      <c r="X20" s="5">
        <v>46148.6875</v>
      </c>
      <c r="Z20" t="s">
        <v>55</v>
      </c>
      <c r="AA20" t="s">
        <v>37</v>
      </c>
      <c r="AB20" t="s">
        <v>107</v>
      </c>
    </row>
    <row r="21" spans="1:28" x14ac:dyDescent="0.25">
      <c r="A21">
        <v>10</v>
      </c>
      <c r="B21" s="4">
        <v>46150.95833333333</v>
      </c>
      <c r="C21" t="s">
        <v>108</v>
      </c>
      <c r="D21" t="s">
        <v>28</v>
      </c>
      <c r="E21" t="s">
        <v>71</v>
      </c>
      <c r="F21" t="s">
        <v>39</v>
      </c>
      <c r="G21" t="s">
        <v>58</v>
      </c>
      <c r="H21" t="s">
        <v>30</v>
      </c>
      <c r="I21" t="s">
        <v>127</v>
      </c>
      <c r="J21" t="s">
        <v>128</v>
      </c>
      <c r="K21" t="s">
        <v>129</v>
      </c>
      <c r="L21" t="s">
        <v>130</v>
      </c>
      <c r="M21" t="s">
        <v>65</v>
      </c>
      <c r="N21" t="s">
        <v>100</v>
      </c>
      <c r="O21" t="s">
        <v>141</v>
      </c>
      <c r="P21">
        <f>IF(ISBLANK(N21), "", N21&amp;"?utm_source="&amp;LOWER(D21)&amp;"&amp;utm_medium=social&amp;utm_campaign="&amp;O21)</f>
      </c>
      <c r="Q21" t="s">
        <v>102</v>
      </c>
      <c r="R21" t="s">
        <v>103</v>
      </c>
      <c r="S21" t="s">
        <v>104</v>
      </c>
      <c r="T21" t="s">
        <v>105</v>
      </c>
      <c r="U21" s="4">
        <v>46147.95833333333</v>
      </c>
      <c r="V21" t="s">
        <v>33</v>
      </c>
      <c r="W21" t="s">
        <v>106</v>
      </c>
      <c r="X21" s="5">
        <v>46151.33333333333</v>
      </c>
      <c r="Z21" t="s">
        <v>55</v>
      </c>
      <c r="AA21" t="s">
        <v>46</v>
      </c>
      <c r="AB21" t="s">
        <v>107</v>
      </c>
    </row>
    <row r="22" spans="1:28" x14ac:dyDescent="0.25">
      <c r="A22">
        <v>11</v>
      </c>
      <c r="B22" s="4">
        <v>46154.95833333333</v>
      </c>
      <c r="C22" t="s">
        <v>95</v>
      </c>
      <c r="D22" t="s">
        <v>28</v>
      </c>
      <c r="E22" t="s">
        <v>61</v>
      </c>
      <c r="F22" t="s">
        <v>29</v>
      </c>
      <c r="G22" t="s">
        <v>31</v>
      </c>
      <c r="H22" t="s">
        <v>40</v>
      </c>
      <c r="I22" t="s">
        <v>131</v>
      </c>
      <c r="J22" t="s">
        <v>132</v>
      </c>
      <c r="K22" t="s">
        <v>133</v>
      </c>
      <c r="L22" t="s">
        <v>134</v>
      </c>
      <c r="M22" t="s">
        <v>51</v>
      </c>
      <c r="N22" t="s">
        <v>100</v>
      </c>
      <c r="O22" t="s">
        <v>142</v>
      </c>
      <c r="P22">
        <f>IF(ISBLANK(N22), "", N22&amp;"?utm_source="&amp;LOWER(D22)&amp;"&amp;utm_medium=social&amp;utm_campaign="&amp;O22)</f>
      </c>
      <c r="Q22" t="s">
        <v>102</v>
      </c>
      <c r="R22" t="s">
        <v>103</v>
      </c>
      <c r="S22" t="s">
        <v>104</v>
      </c>
      <c r="T22" t="s">
        <v>105</v>
      </c>
      <c r="U22" s="4">
        <v>46151.95833333333</v>
      </c>
      <c r="V22" t="s">
        <v>33</v>
      </c>
      <c r="W22" t="s">
        <v>106</v>
      </c>
      <c r="X22" s="5">
        <v>46155.75</v>
      </c>
      <c r="Z22" t="s">
        <v>36</v>
      </c>
      <c r="AA22" t="s">
        <v>37</v>
      </c>
      <c r="AB22" t="s">
        <v>107</v>
      </c>
    </row>
    <row r="23" spans="1:28" x14ac:dyDescent="0.25">
      <c r="A23">
        <v>11</v>
      </c>
      <c r="B23" s="4">
        <v>46157.95833333333</v>
      </c>
      <c r="C23" t="s">
        <v>108</v>
      </c>
      <c r="D23" t="s">
        <v>28</v>
      </c>
      <c r="E23" t="s">
        <v>34</v>
      </c>
      <c r="F23" t="s">
        <v>39</v>
      </c>
      <c r="G23" t="s">
        <v>31</v>
      </c>
      <c r="H23" t="s">
        <v>40</v>
      </c>
      <c r="I23" t="s">
        <v>96</v>
      </c>
      <c r="J23" t="s">
        <v>97</v>
      </c>
      <c r="K23" t="s">
        <v>98</v>
      </c>
      <c r="L23" t="s">
        <v>99</v>
      </c>
      <c r="M23" t="s">
        <v>42</v>
      </c>
      <c r="N23" t="s">
        <v>100</v>
      </c>
      <c r="O23" t="s">
        <v>142</v>
      </c>
      <c r="P23">
        <f>IF(ISBLANK(N23), "", N23&amp;"?utm_source="&amp;LOWER(D23)&amp;"&amp;utm_medium=social&amp;utm_campaign="&amp;O23)</f>
      </c>
      <c r="Q23" t="s">
        <v>102</v>
      </c>
      <c r="R23" t="s">
        <v>103</v>
      </c>
      <c r="S23" t="s">
        <v>104</v>
      </c>
      <c r="T23" t="s">
        <v>105</v>
      </c>
      <c r="U23" s="4">
        <v>46154.95833333333</v>
      </c>
      <c r="V23" t="s">
        <v>33</v>
      </c>
      <c r="W23" t="s">
        <v>106</v>
      </c>
      <c r="X23" s="5">
        <v>46158.41666666667</v>
      </c>
      <c r="Z23" t="s">
        <v>36</v>
      </c>
      <c r="AA23" t="s">
        <v>37</v>
      </c>
      <c r="AB23" t="s">
        <v>107</v>
      </c>
    </row>
    <row r="24" spans="1:28" x14ac:dyDescent="0.25">
      <c r="A24">
        <v>12</v>
      </c>
      <c r="B24" s="4">
        <v>46161.95833333333</v>
      </c>
      <c r="C24" t="s">
        <v>95</v>
      </c>
      <c r="D24" t="s">
        <v>28</v>
      </c>
      <c r="E24" t="s">
        <v>53</v>
      </c>
      <c r="F24" t="s">
        <v>29</v>
      </c>
      <c r="G24" t="s">
        <v>41</v>
      </c>
      <c r="H24" t="s">
        <v>40</v>
      </c>
      <c r="I24" t="s">
        <v>109</v>
      </c>
      <c r="J24" t="s">
        <v>110</v>
      </c>
      <c r="K24" t="s">
        <v>111</v>
      </c>
      <c r="L24" t="s">
        <v>112</v>
      </c>
      <c r="M24" t="s">
        <v>32</v>
      </c>
      <c r="N24" t="s">
        <v>100</v>
      </c>
      <c r="O24" t="s">
        <v>143</v>
      </c>
      <c r="P24">
        <f>IF(ISBLANK(N24), "", N24&amp;"?utm_source="&amp;LOWER(D24)&amp;"&amp;utm_medium=social&amp;utm_campaign="&amp;O24)</f>
      </c>
      <c r="Q24" t="s">
        <v>102</v>
      </c>
      <c r="R24" t="s">
        <v>103</v>
      </c>
      <c r="S24" t="s">
        <v>104</v>
      </c>
      <c r="T24" t="s">
        <v>105</v>
      </c>
      <c r="U24" s="4">
        <v>46158.95833333333</v>
      </c>
      <c r="V24" t="s">
        <v>33</v>
      </c>
      <c r="W24" t="s">
        <v>106</v>
      </c>
      <c r="X24" s="5">
        <v>46162.70833333333</v>
      </c>
      <c r="Z24" t="s">
        <v>41</v>
      </c>
      <c r="AA24" t="s">
        <v>56</v>
      </c>
      <c r="AB24" t="s">
        <v>107</v>
      </c>
    </row>
    <row r="25" spans="1:28" x14ac:dyDescent="0.25">
      <c r="A25">
        <v>12</v>
      </c>
      <c r="B25" s="4">
        <v>46164.95833333333</v>
      </c>
      <c r="C25" t="s">
        <v>108</v>
      </c>
      <c r="D25" t="s">
        <v>28</v>
      </c>
      <c r="E25" t="s">
        <v>44</v>
      </c>
      <c r="F25" t="s">
        <v>57</v>
      </c>
      <c r="G25" t="s">
        <v>58</v>
      </c>
      <c r="H25" t="s">
        <v>30</v>
      </c>
      <c r="I25" t="s">
        <v>113</v>
      </c>
      <c r="J25" t="s">
        <v>114</v>
      </c>
      <c r="K25" t="s">
        <v>115</v>
      </c>
      <c r="L25" t="s">
        <v>116</v>
      </c>
      <c r="M25" t="s">
        <v>65</v>
      </c>
      <c r="N25" t="s">
        <v>100</v>
      </c>
      <c r="O25" t="s">
        <v>143</v>
      </c>
      <c r="P25">
        <f>IF(ISBLANK(N25), "", N25&amp;"?utm_source="&amp;LOWER(D25)&amp;"&amp;utm_medium=social&amp;utm_campaign="&amp;O25)</f>
      </c>
      <c r="Q25" t="s">
        <v>102</v>
      </c>
      <c r="R25" t="s">
        <v>103</v>
      </c>
      <c r="S25" t="s">
        <v>104</v>
      </c>
      <c r="T25" t="s">
        <v>105</v>
      </c>
      <c r="U25" s="4">
        <v>46161.95833333333</v>
      </c>
      <c r="V25" t="s">
        <v>33</v>
      </c>
      <c r="W25" t="s">
        <v>106</v>
      </c>
      <c r="X25" s="5">
        <v>46165.39583333333</v>
      </c>
      <c r="Z25" t="s">
        <v>55</v>
      </c>
      <c r="AA25" t="s">
        <v>46</v>
      </c>
      <c r="AB25" t="s">
        <v>107</v>
      </c>
    </row>
  </sheetData>
  <autoFilter ref="A1:Y100"/>
  <dataValidations count="22">
    <dataValidation type="list" allowBlank="1" sqref="AA10:AA25">
      <formula1>AngleTypes</formula1>
    </dataValidation>
    <dataValidation type="list" allowBlank="1" sqref="AA2:AA25">
      <formula1>AngleTypes</formula1>
    </dataValidation>
    <dataValidation type="list" allowBlank="1" sqref="D10:D100">
      <formula1>Platforms</formula1>
    </dataValidation>
    <dataValidation type="list" allowBlank="1" sqref="D2:D100">
      <formula1>Platforms</formula1>
    </dataValidation>
    <dataValidation type="list" allowBlank="1" sqref="E10:E100">
      <formula1>ContentPillars</formula1>
    </dataValidation>
    <dataValidation type="list" allowBlank="1" sqref="E2:E100">
      <formula1>ContentPillars</formula1>
    </dataValidation>
    <dataValidation type="list" allowBlank="1" sqref="F10:F100">
      <formula1>PostTypes</formula1>
    </dataValidation>
    <dataValidation type="list" allowBlank="1" sqref="F2:F100">
      <formula1>PostTypes</formula1>
    </dataValidation>
    <dataValidation type="list" allowBlank="1" sqref="G10:G100">
      <formula1>Objectives</formula1>
    </dataValidation>
    <dataValidation type="list" allowBlank="1" sqref="G2:G100">
      <formula1>Objectives</formula1>
    </dataValidation>
    <dataValidation type="list" allowBlank="1" sqref="H10:H100">
      <formula1>FunnelStage</formula1>
    </dataValidation>
    <dataValidation type="list" allowBlank="1" sqref="H2:H100">
      <formula1>FunnelStage</formula1>
    </dataValidation>
    <dataValidation type="list" allowBlank="1" sqref="M10:M100">
      <formula1>CTAs</formula1>
    </dataValidation>
    <dataValidation type="list" allowBlank="1" sqref="M2:M100">
      <formula1>CTAs</formula1>
    </dataValidation>
    <dataValidation type="list" allowBlank="1" sqref="Q10:Q100">
      <formula1>"Sim,Não"</formula1>
    </dataValidation>
    <dataValidation type="list" allowBlank="1" sqref="Q2:Q100">
      <formula1>"Sim,Não"</formula1>
    </dataValidation>
    <dataValidation type="list" allowBlank="1" sqref="V10:V100">
      <formula1>Statuses</formula1>
    </dataValidation>
    <dataValidation type="list" allowBlank="1" sqref="V2:V100">
      <formula1>Statuses</formula1>
    </dataValidation>
    <dataValidation type="list" allowBlank="1" sqref="W10:W100">
      <formula1>"Sim,Não"</formula1>
    </dataValidation>
    <dataValidation type="list" allowBlank="1" sqref="W2:W100">
      <formula1>"Sim,Não"</formula1>
    </dataValidation>
    <dataValidation type="list" allowBlank="1" sqref="Z10:Z25">
      <formula1>KPIs</formula1>
    </dataValidation>
    <dataValidation type="list" allowBlank="1" sqref="Z2:Z25">
      <formula1>KPIs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5" customWidth="1"/>
    <col min="3" max="3" width="18" customWidth="1"/>
    <col min="4" max="5" width="15" customWidth="1"/>
    <col min="6" max="6" width="35" customWidth="1"/>
    <col min="7" max="8" width="15" customWidth="1"/>
    <col min="9" max="9" width="30" customWidth="1"/>
  </cols>
  <sheetData>
    <row r="1" spans="1:9" s="3" customFormat="1" x14ac:dyDescent="0.25">
      <c r="A1" s="2" t="s">
        <v>144</v>
      </c>
      <c r="B1" s="2" t="s">
        <v>145</v>
      </c>
      <c r="C1" s="2" t="s">
        <v>77</v>
      </c>
      <c r="D1" s="2" t="s">
        <v>21</v>
      </c>
      <c r="E1" s="2" t="s">
        <v>20</v>
      </c>
      <c r="F1" s="2" t="s">
        <v>93</v>
      </c>
      <c r="G1" s="2" t="s">
        <v>146</v>
      </c>
      <c r="H1" s="2" t="s">
        <v>23</v>
      </c>
      <c r="I1" s="2" t="s">
        <v>147</v>
      </c>
    </row>
    <row r="2" spans="1:9" x14ac:dyDescent="0.25">
      <c r="A2" t="s">
        <v>148</v>
      </c>
      <c r="B2" t="s">
        <v>149</v>
      </c>
      <c r="C2" t="s">
        <v>53</v>
      </c>
      <c r="D2" t="s">
        <v>31</v>
      </c>
      <c r="E2" t="s">
        <v>30</v>
      </c>
      <c r="F2" t="s">
        <v>150</v>
      </c>
      <c r="G2" t="s">
        <v>151</v>
      </c>
      <c r="H2" t="s">
        <v>33</v>
      </c>
      <c r="I2" t="s">
        <v>152</v>
      </c>
    </row>
    <row r="3" spans="1:9" x14ac:dyDescent="0.25">
      <c r="A3" t="s">
        <v>153</v>
      </c>
      <c r="B3" t="s">
        <v>154</v>
      </c>
      <c r="C3" t="s">
        <v>44</v>
      </c>
      <c r="D3" t="s">
        <v>50</v>
      </c>
      <c r="E3" t="s">
        <v>40</v>
      </c>
      <c r="F3" t="s">
        <v>155</v>
      </c>
      <c r="G3" t="s">
        <v>156</v>
      </c>
      <c r="H3" t="s">
        <v>43</v>
      </c>
      <c r="I3" t="s">
        <v>8</v>
      </c>
    </row>
    <row r="4" spans="1:9" x14ac:dyDescent="0.25">
      <c r="A4" t="s">
        <v>157</v>
      </c>
      <c r="B4" t="s">
        <v>158</v>
      </c>
      <c r="C4" t="s">
        <v>53</v>
      </c>
      <c r="D4" t="s">
        <v>41</v>
      </c>
      <c r="E4" t="s">
        <v>40</v>
      </c>
      <c r="F4" t="s">
        <v>159</v>
      </c>
      <c r="G4" t="s">
        <v>151</v>
      </c>
      <c r="H4" t="s">
        <v>33</v>
      </c>
      <c r="I4" t="s">
        <v>8</v>
      </c>
    </row>
    <row r="5" spans="1:9" x14ac:dyDescent="0.25">
      <c r="A5" t="s">
        <v>160</v>
      </c>
      <c r="B5" t="s">
        <v>161</v>
      </c>
      <c r="C5" t="s">
        <v>61</v>
      </c>
      <c r="D5" t="s">
        <v>41</v>
      </c>
      <c r="E5" t="s">
        <v>49</v>
      </c>
      <c r="F5" t="s">
        <v>162</v>
      </c>
      <c r="G5" t="s">
        <v>151</v>
      </c>
      <c r="H5" t="s">
        <v>52</v>
      </c>
      <c r="I5" t="s">
        <v>8</v>
      </c>
    </row>
    <row r="6" spans="1:9" x14ac:dyDescent="0.25">
      <c r="A6" t="s">
        <v>163</v>
      </c>
      <c r="B6" t="s">
        <v>164</v>
      </c>
      <c r="C6" t="s">
        <v>53</v>
      </c>
      <c r="D6" t="s">
        <v>58</v>
      </c>
      <c r="E6" t="s">
        <v>30</v>
      </c>
      <c r="F6" t="s">
        <v>165</v>
      </c>
      <c r="G6" t="s">
        <v>156</v>
      </c>
      <c r="H6" t="s">
        <v>33</v>
      </c>
      <c r="I6" t="s">
        <v>8</v>
      </c>
    </row>
    <row r="7" spans="1:9" x14ac:dyDescent="0.25">
      <c r="A7" t="s">
        <v>166</v>
      </c>
      <c r="B7" t="s">
        <v>167</v>
      </c>
      <c r="C7" t="s">
        <v>71</v>
      </c>
      <c r="D7" t="s">
        <v>50</v>
      </c>
      <c r="E7" t="s">
        <v>40</v>
      </c>
      <c r="F7" t="s">
        <v>168</v>
      </c>
      <c r="G7" t="s">
        <v>151</v>
      </c>
      <c r="H7" t="s">
        <v>43</v>
      </c>
      <c r="I7" t="s">
        <v>8</v>
      </c>
    </row>
    <row r="8" spans="1:9" x14ac:dyDescent="0.25">
      <c r="A8" t="s">
        <v>169</v>
      </c>
      <c r="B8" t="s">
        <v>170</v>
      </c>
      <c r="C8" t="s">
        <v>67</v>
      </c>
      <c r="D8" t="s">
        <v>41</v>
      </c>
      <c r="E8" t="s">
        <v>49</v>
      </c>
      <c r="F8" t="s">
        <v>171</v>
      </c>
      <c r="G8" t="s">
        <v>151</v>
      </c>
      <c r="H8" t="s">
        <v>33</v>
      </c>
      <c r="I8" t="s">
        <v>8</v>
      </c>
    </row>
    <row r="9" spans="1:9" x14ac:dyDescent="0.25">
      <c r="A9" t="s">
        <v>172</v>
      </c>
      <c r="B9" t="s">
        <v>173</v>
      </c>
      <c r="C9" t="s">
        <v>53</v>
      </c>
      <c r="D9" t="s">
        <v>31</v>
      </c>
      <c r="E9" t="s">
        <v>30</v>
      </c>
      <c r="F9" t="s">
        <v>174</v>
      </c>
      <c r="G9" t="s">
        <v>156</v>
      </c>
      <c r="H9" t="s">
        <v>33</v>
      </c>
      <c r="I9" t="s">
        <v>8</v>
      </c>
    </row>
    <row r="10" spans="1:9" x14ac:dyDescent="0.25">
      <c r="A10" t="s">
        <v>175</v>
      </c>
      <c r="B10" t="s">
        <v>176</v>
      </c>
      <c r="C10" t="s">
        <v>53</v>
      </c>
      <c r="D10" t="s">
        <v>58</v>
      </c>
      <c r="E10" t="s">
        <v>30</v>
      </c>
      <c r="F10" t="s">
        <v>177</v>
      </c>
      <c r="G10" t="s">
        <v>156</v>
      </c>
      <c r="H10" t="s">
        <v>33</v>
      </c>
      <c r="I10" t="s">
        <v>8</v>
      </c>
    </row>
    <row r="11" spans="1:9" x14ac:dyDescent="0.25">
      <c r="A11" t="s">
        <v>178</v>
      </c>
      <c r="B11" t="s">
        <v>179</v>
      </c>
      <c r="C11" t="s">
        <v>69</v>
      </c>
      <c r="D11" t="s">
        <v>50</v>
      </c>
      <c r="E11" t="s">
        <v>40</v>
      </c>
      <c r="F11" t="s">
        <v>180</v>
      </c>
      <c r="G11" t="s">
        <v>151</v>
      </c>
      <c r="H11" t="s">
        <v>33</v>
      </c>
      <c r="I11" t="s">
        <v>8</v>
      </c>
    </row>
    <row r="12" spans="1:9" x14ac:dyDescent="0.25">
      <c r="A12" t="s">
        <v>181</v>
      </c>
      <c r="B12" t="s">
        <v>182</v>
      </c>
      <c r="C12" t="s">
        <v>53</v>
      </c>
      <c r="D12" t="s">
        <v>31</v>
      </c>
      <c r="E12" t="s">
        <v>30</v>
      </c>
      <c r="F12" t="s">
        <v>183</v>
      </c>
      <c r="G12" t="s">
        <v>184</v>
      </c>
      <c r="H12" t="s">
        <v>33</v>
      </c>
      <c r="I12" t="s">
        <v>8</v>
      </c>
    </row>
    <row r="13" spans="1:9" x14ac:dyDescent="0.25">
      <c r="A13" t="s">
        <v>185</v>
      </c>
      <c r="B13" t="s">
        <v>186</v>
      </c>
      <c r="C13" t="s">
        <v>67</v>
      </c>
      <c r="D13" t="s">
        <v>31</v>
      </c>
      <c r="E13" t="s">
        <v>40</v>
      </c>
      <c r="F13" t="s">
        <v>187</v>
      </c>
      <c r="G13" t="s">
        <v>156</v>
      </c>
      <c r="H13" t="s">
        <v>43</v>
      </c>
      <c r="I13" t="s">
        <v>8</v>
      </c>
    </row>
    <row r="14" spans="1:9" x14ac:dyDescent="0.25">
      <c r="A14" t="s">
        <v>188</v>
      </c>
      <c r="B14" t="s">
        <v>189</v>
      </c>
      <c r="C14" t="s">
        <v>53</v>
      </c>
      <c r="D14" t="s">
        <v>58</v>
      </c>
      <c r="E14" t="s">
        <v>30</v>
      </c>
      <c r="F14" t="s">
        <v>190</v>
      </c>
      <c r="G14" t="s">
        <v>151</v>
      </c>
      <c r="H14" t="s">
        <v>33</v>
      </c>
      <c r="I14" t="s">
        <v>8</v>
      </c>
    </row>
    <row r="15" spans="1:9" x14ac:dyDescent="0.25">
      <c r="A15" t="s">
        <v>191</v>
      </c>
      <c r="B15" t="s">
        <v>192</v>
      </c>
      <c r="C15" t="s">
        <v>53</v>
      </c>
      <c r="D15" t="s">
        <v>31</v>
      </c>
      <c r="E15" t="s">
        <v>40</v>
      </c>
      <c r="F15" t="s">
        <v>193</v>
      </c>
      <c r="G15" t="s">
        <v>151</v>
      </c>
      <c r="H15" t="s">
        <v>33</v>
      </c>
      <c r="I15" t="s">
        <v>8</v>
      </c>
    </row>
    <row r="16" spans="1:9" x14ac:dyDescent="0.25">
      <c r="A16" t="s">
        <v>194</v>
      </c>
      <c r="B16" t="s">
        <v>195</v>
      </c>
      <c r="C16" t="s">
        <v>53</v>
      </c>
      <c r="D16" t="s">
        <v>31</v>
      </c>
      <c r="E16" t="s">
        <v>30</v>
      </c>
      <c r="F16" t="s">
        <v>196</v>
      </c>
      <c r="G16" t="s">
        <v>156</v>
      </c>
      <c r="H16" t="s">
        <v>33</v>
      </c>
      <c r="I16" t="s">
        <v>8</v>
      </c>
    </row>
    <row r="17" spans="1:9" x14ac:dyDescent="0.25">
      <c r="A17" t="s">
        <v>197</v>
      </c>
      <c r="B17" t="s">
        <v>198</v>
      </c>
      <c r="C17" t="s">
        <v>71</v>
      </c>
      <c r="D17" t="s">
        <v>50</v>
      </c>
      <c r="E17" t="s">
        <v>40</v>
      </c>
      <c r="F17" t="s">
        <v>199</v>
      </c>
      <c r="G17" t="s">
        <v>184</v>
      </c>
      <c r="H17" t="s">
        <v>33</v>
      </c>
      <c r="I17" t="s">
        <v>8</v>
      </c>
    </row>
    <row r="18" spans="1:9" x14ac:dyDescent="0.25">
      <c r="A18" t="s">
        <v>200</v>
      </c>
      <c r="B18" t="s">
        <v>201</v>
      </c>
      <c r="C18" t="s">
        <v>67</v>
      </c>
      <c r="D18" t="s">
        <v>41</v>
      </c>
      <c r="E18" t="s">
        <v>49</v>
      </c>
      <c r="F18" t="s">
        <v>202</v>
      </c>
      <c r="G18" t="s">
        <v>151</v>
      </c>
      <c r="H18" t="s">
        <v>43</v>
      </c>
      <c r="I18" t="s">
        <v>8</v>
      </c>
    </row>
    <row r="19" spans="1:9" x14ac:dyDescent="0.25">
      <c r="A19" t="s">
        <v>203</v>
      </c>
      <c r="B19" t="s">
        <v>204</v>
      </c>
      <c r="C19" t="s">
        <v>53</v>
      </c>
      <c r="D19" t="s">
        <v>31</v>
      </c>
      <c r="E19" t="s">
        <v>30</v>
      </c>
      <c r="F19" t="s">
        <v>205</v>
      </c>
      <c r="G19" t="s">
        <v>156</v>
      </c>
      <c r="H19" t="s">
        <v>33</v>
      </c>
      <c r="I19" t="s">
        <v>8</v>
      </c>
    </row>
    <row r="20" spans="1:9" x14ac:dyDescent="0.25">
      <c r="A20" t="s">
        <v>206</v>
      </c>
      <c r="B20" t="s">
        <v>207</v>
      </c>
      <c r="C20" t="s">
        <v>53</v>
      </c>
      <c r="D20" t="s">
        <v>58</v>
      </c>
      <c r="E20" t="s">
        <v>30</v>
      </c>
      <c r="F20" t="s">
        <v>208</v>
      </c>
      <c r="G20" t="s">
        <v>184</v>
      </c>
      <c r="H20" t="s">
        <v>33</v>
      </c>
      <c r="I20" t="s">
        <v>8</v>
      </c>
    </row>
    <row r="21" spans="1:9" x14ac:dyDescent="0.25">
      <c r="A21" t="s">
        <v>209</v>
      </c>
      <c r="B21" t="s">
        <v>210</v>
      </c>
      <c r="C21" t="s">
        <v>53</v>
      </c>
      <c r="D21" t="s">
        <v>31</v>
      </c>
      <c r="E21" t="s">
        <v>40</v>
      </c>
      <c r="F21" t="s">
        <v>211</v>
      </c>
      <c r="G21" t="s">
        <v>151</v>
      </c>
      <c r="H21" t="s">
        <v>33</v>
      </c>
      <c r="I21" t="s">
        <v>8</v>
      </c>
    </row>
    <row r="22" spans="1:9" x14ac:dyDescent="0.25">
      <c r="A22" t="s">
        <v>212</v>
      </c>
      <c r="B22" t="s">
        <v>213</v>
      </c>
      <c r="C22" t="s">
        <v>53</v>
      </c>
      <c r="D22" t="s">
        <v>31</v>
      </c>
      <c r="E22" t="s">
        <v>30</v>
      </c>
      <c r="F22" t="s">
        <v>214</v>
      </c>
      <c r="G22" t="s">
        <v>156</v>
      </c>
      <c r="H22" t="s">
        <v>33</v>
      </c>
      <c r="I22" t="s">
        <v>8</v>
      </c>
    </row>
    <row r="23" spans="1:9" x14ac:dyDescent="0.25">
      <c r="A23" t="s">
        <v>215</v>
      </c>
      <c r="B23" t="s">
        <v>216</v>
      </c>
      <c r="C23" t="s">
        <v>34</v>
      </c>
      <c r="D23" t="s">
        <v>50</v>
      </c>
      <c r="E23" t="s">
        <v>40</v>
      </c>
      <c r="F23" t="s">
        <v>217</v>
      </c>
      <c r="G23" t="s">
        <v>151</v>
      </c>
      <c r="H23" t="s">
        <v>33</v>
      </c>
      <c r="I23" t="s">
        <v>8</v>
      </c>
    </row>
    <row r="24" spans="1:9" x14ac:dyDescent="0.25">
      <c r="A24" t="s">
        <v>218</v>
      </c>
      <c r="B24" t="s">
        <v>219</v>
      </c>
      <c r="C24" t="s">
        <v>67</v>
      </c>
      <c r="D24" t="s">
        <v>41</v>
      </c>
      <c r="E24" t="s">
        <v>49</v>
      </c>
      <c r="F24" t="s">
        <v>220</v>
      </c>
      <c r="G24" t="s">
        <v>151</v>
      </c>
      <c r="H24" t="s">
        <v>33</v>
      </c>
      <c r="I24" t="s">
        <v>8</v>
      </c>
    </row>
    <row r="25" spans="1:9" x14ac:dyDescent="0.25">
      <c r="A25" t="s">
        <v>221</v>
      </c>
      <c r="B25" t="s">
        <v>222</v>
      </c>
      <c r="C25" t="s">
        <v>53</v>
      </c>
      <c r="D25" t="s">
        <v>58</v>
      </c>
      <c r="E25" t="s">
        <v>30</v>
      </c>
      <c r="F25" t="s">
        <v>223</v>
      </c>
      <c r="G25" t="s">
        <v>156</v>
      </c>
      <c r="H25" t="s">
        <v>33</v>
      </c>
      <c r="I25" t="s">
        <v>8</v>
      </c>
    </row>
    <row r="26" spans="1:9" x14ac:dyDescent="0.25">
      <c r="A26" t="s">
        <v>224</v>
      </c>
      <c r="B26" t="s">
        <v>225</v>
      </c>
      <c r="C26" t="s">
        <v>69</v>
      </c>
      <c r="D26" t="s">
        <v>41</v>
      </c>
      <c r="E26" t="s">
        <v>49</v>
      </c>
      <c r="F26" t="s">
        <v>226</v>
      </c>
      <c r="G26" t="s">
        <v>151</v>
      </c>
      <c r="H26" t="s">
        <v>33</v>
      </c>
      <c r="I26" t="s">
        <v>8</v>
      </c>
    </row>
  </sheetData>
  <autoFilter ref="A1:I50"/>
  <dataValidations count="10">
    <dataValidation type="list" allowBlank="1" sqref="C10:C50">
      <formula1>ContentPillars</formula1>
    </dataValidation>
    <dataValidation type="list" allowBlank="1" sqref="C2:C50">
      <formula1>ContentPillars</formula1>
    </dataValidation>
    <dataValidation type="list" allowBlank="1" sqref="D10:D50">
      <formula1>Objectives</formula1>
    </dataValidation>
    <dataValidation type="list" allowBlank="1" sqref="D2:D50">
      <formula1>Objectives</formula1>
    </dataValidation>
    <dataValidation type="list" allowBlank="1" sqref="E10:E50">
      <formula1>FunnelStage</formula1>
    </dataValidation>
    <dataValidation type="list" allowBlank="1" sqref="E2:E50">
      <formula1>FunnelStage</formula1>
    </dataValidation>
    <dataValidation type="list" allowBlank="1" sqref="G10:G50">
      <formula1>"Alta,Média,Baixa"</formula1>
    </dataValidation>
    <dataValidation type="list" allowBlank="1" sqref="G2:G50">
      <formula1>"Alta,Média,Baixa"</formula1>
    </dataValidation>
    <dataValidation type="list" allowBlank="1" sqref="H10:H50">
      <formula1>Statuses</formula1>
    </dataValidation>
    <dataValidation type="list" allowBlank="1" sqref="H2:H50">
      <formula1>Statuses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30" customWidth="1"/>
    <col min="4" max="4" width="25" customWidth="1"/>
    <col min="5" max="7" width="15" customWidth="1"/>
    <col min="8" max="11" width="12" customWidth="1"/>
    <col min="12" max="12" width="30" customWidth="1"/>
  </cols>
  <sheetData>
    <row r="1" spans="1:12" s="3" customFormat="1" x14ac:dyDescent="0.25">
      <c r="A1" s="2" t="s">
        <v>74</v>
      </c>
      <c r="B1" s="2" t="s">
        <v>76</v>
      </c>
      <c r="C1" s="2" t="s">
        <v>227</v>
      </c>
      <c r="D1" s="2" t="s">
        <v>228</v>
      </c>
      <c r="E1" s="2" t="s">
        <v>229</v>
      </c>
      <c r="F1" s="2" t="s">
        <v>230</v>
      </c>
      <c r="G1" s="2" t="s">
        <v>231</v>
      </c>
      <c r="H1" s="2" t="s">
        <v>36</v>
      </c>
      <c r="I1" s="2" t="s">
        <v>232</v>
      </c>
      <c r="J1" s="2" t="s">
        <v>41</v>
      </c>
      <c r="K1" s="2" t="s">
        <v>233</v>
      </c>
      <c r="L1" s="2" t="s">
        <v>93</v>
      </c>
    </row>
    <row r="2" spans="9:11" x14ac:dyDescent="0.25">
      <c r="I2" s="6">
        <f>IF(E2&gt;0, H2/E2, 0)</f>
      </c>
      <c r="K2" s="7"/>
    </row>
    <row r="3" spans="9:11" x14ac:dyDescent="0.25">
      <c r="I3" s="6">
        <f>IF(E3&gt;0, H3/E3, 0)</f>
      </c>
      <c r="K3" s="7"/>
    </row>
    <row r="4" spans="9:11" x14ac:dyDescent="0.25">
      <c r="I4" s="6">
        <f>IF(E4&gt;0, H4/E4, 0)</f>
      </c>
      <c r="K4" s="7"/>
    </row>
    <row r="5" spans="9:11" x14ac:dyDescent="0.25">
      <c r="I5" s="6">
        <f>IF(E5&gt;0, H5/E5, 0)</f>
      </c>
      <c r="K5" s="7"/>
    </row>
    <row r="6" spans="9:11" x14ac:dyDescent="0.25">
      <c r="I6" s="6">
        <f>IF(E6&gt;0, H6/E6, 0)</f>
      </c>
      <c r="K6" s="7"/>
    </row>
    <row r="7" spans="9:11" x14ac:dyDescent="0.25">
      <c r="I7" s="6">
        <f>IF(E7&gt;0, H7/E7, 0)</f>
      </c>
      <c r="K7" s="7"/>
    </row>
    <row r="8" spans="9:11" x14ac:dyDescent="0.25">
      <c r="I8" s="6">
        <f>IF(E8&gt;0, H8/E8, 0)</f>
      </c>
      <c r="K8" s="7"/>
    </row>
    <row r="9" spans="9:11" x14ac:dyDescent="0.25">
      <c r="I9" s="6">
        <f>IF(E9&gt;0, H9/E9, 0)</f>
      </c>
      <c r="K9" s="7"/>
    </row>
    <row r="10" spans="9:11" x14ac:dyDescent="0.25">
      <c r="I10" s="6">
        <f>IF(E10&gt;0, H10/E10, 0)</f>
      </c>
      <c r="K10" s="7"/>
    </row>
    <row r="11" spans="9:11" x14ac:dyDescent="0.25">
      <c r="I11" s="6">
        <f>IF(E11&gt;0, H11/E11, 0)</f>
      </c>
      <c r="K11" s="7"/>
    </row>
    <row r="12" spans="9:11" x14ac:dyDescent="0.25">
      <c r="I12" s="6">
        <f>IF(E12&gt;0, H12/E12, 0)</f>
      </c>
      <c r="K12" s="7"/>
    </row>
    <row r="13" spans="9:11" x14ac:dyDescent="0.25">
      <c r="I13" s="6">
        <f>IF(E13&gt;0, H13/E13, 0)</f>
      </c>
      <c r="K13" s="7"/>
    </row>
    <row r="14" spans="9:11" x14ac:dyDescent="0.25">
      <c r="I14" s="6">
        <f>IF(E14&gt;0, H14/E14, 0)</f>
      </c>
      <c r="K14" s="7"/>
    </row>
    <row r="15" spans="9:11" x14ac:dyDescent="0.25">
      <c r="I15" s="6">
        <f>IF(E15&gt;0, H15/E15, 0)</f>
      </c>
      <c r="K15" s="7"/>
    </row>
    <row r="16" spans="9:11" x14ac:dyDescent="0.25">
      <c r="I16" s="6">
        <f>IF(E16&gt;0, H16/E16, 0)</f>
      </c>
      <c r="K16" s="7"/>
    </row>
    <row r="17" spans="9:11" x14ac:dyDescent="0.25">
      <c r="I17" s="6">
        <f>IF(E17&gt;0, H17/E17, 0)</f>
      </c>
      <c r="K17" s="7"/>
    </row>
    <row r="18" spans="9:11" x14ac:dyDescent="0.25">
      <c r="I18" s="6">
        <f>IF(E18&gt;0, H18/E18, 0)</f>
      </c>
      <c r="K18" s="7"/>
    </row>
    <row r="19" spans="9:11" x14ac:dyDescent="0.25">
      <c r="I19" s="6">
        <f>IF(E19&gt;0, H19/E19, 0)</f>
      </c>
      <c r="K19" s="7"/>
    </row>
    <row r="20" spans="9:11" x14ac:dyDescent="0.25">
      <c r="I20" s="6">
        <f>IF(E20&gt;0, H20/E20, 0)</f>
      </c>
      <c r="K20" s="7"/>
    </row>
    <row r="21" spans="9:11" x14ac:dyDescent="0.25">
      <c r="I21" s="6">
        <f>IF(E21&gt;0, H21/E21, 0)</f>
      </c>
      <c r="K21" s="7"/>
    </row>
    <row r="22" spans="9:11" x14ac:dyDescent="0.25">
      <c r="I22" s="6">
        <f>IF(E22&gt;0, H22/E22, 0)</f>
      </c>
      <c r="K22" s="7"/>
    </row>
    <row r="23" spans="9:11" x14ac:dyDescent="0.25">
      <c r="I23" s="6">
        <f>IF(E23&gt;0, H23/E23, 0)</f>
      </c>
      <c r="K23" s="7"/>
    </row>
    <row r="24" spans="9:11" x14ac:dyDescent="0.25">
      <c r="I24" s="6">
        <f>IF(E24&gt;0, H24/E24, 0)</f>
      </c>
      <c r="K24" s="7"/>
    </row>
    <row r="25" spans="9:11" x14ac:dyDescent="0.25">
      <c r="I25" s="6">
        <f>IF(E25&gt;0, H25/E25, 0)</f>
      </c>
      <c r="K25" s="7"/>
    </row>
    <row r="26" spans="9:11" x14ac:dyDescent="0.25">
      <c r="I26" s="6">
        <f>IF(E26&gt;0, H26/E26, 0)</f>
      </c>
      <c r="K26" s="7"/>
    </row>
    <row r="27" spans="9:11" x14ac:dyDescent="0.25">
      <c r="I27" s="6">
        <f>IF(E27&gt;0, H27/E27, 0)</f>
      </c>
      <c r="K27" s="7"/>
    </row>
    <row r="28" spans="9:11" x14ac:dyDescent="0.25">
      <c r="I28" s="6">
        <f>IF(E28&gt;0, H28/E28, 0)</f>
      </c>
      <c r="K28" s="7"/>
    </row>
    <row r="29" spans="9:11" x14ac:dyDescent="0.25">
      <c r="I29" s="6">
        <f>IF(E29&gt;0, H29/E29, 0)</f>
      </c>
      <c r="K29" s="7"/>
    </row>
    <row r="30" spans="9:11" x14ac:dyDescent="0.25">
      <c r="I30" s="6">
        <f>IF(E30&gt;0, H30/E30, 0)</f>
      </c>
      <c r="K30" s="7"/>
    </row>
    <row r="31" spans="9:11" x14ac:dyDescent="0.25">
      <c r="I31" s="6">
        <f>IF(E31&gt;0, H31/E31, 0)</f>
      </c>
      <c r="K31" s="7"/>
    </row>
    <row r="32" spans="9:11" x14ac:dyDescent="0.25">
      <c r="I32" s="6">
        <f>IF(E32&gt;0, H32/E32, 0)</f>
      </c>
      <c r="K32" s="7"/>
    </row>
    <row r="33" spans="9:11" x14ac:dyDescent="0.25">
      <c r="I33" s="6">
        <f>IF(E33&gt;0, H33/E33, 0)</f>
      </c>
      <c r="K33" s="7"/>
    </row>
    <row r="34" spans="9:11" x14ac:dyDescent="0.25">
      <c r="I34" s="6">
        <f>IF(E34&gt;0, H34/E34, 0)</f>
      </c>
      <c r="K34" s="7"/>
    </row>
    <row r="35" spans="9:11" x14ac:dyDescent="0.25">
      <c r="I35" s="6">
        <f>IF(E35&gt;0, H35/E35, 0)</f>
      </c>
      <c r="K35" s="7"/>
    </row>
    <row r="36" spans="9:11" x14ac:dyDescent="0.25">
      <c r="I36" s="6">
        <f>IF(E36&gt;0, H36/E36, 0)</f>
      </c>
      <c r="K36" s="7"/>
    </row>
    <row r="37" spans="9:11" x14ac:dyDescent="0.25">
      <c r="I37" s="6">
        <f>IF(E37&gt;0, H37/E37, 0)</f>
      </c>
      <c r="K37" s="7"/>
    </row>
    <row r="38" spans="9:11" x14ac:dyDescent="0.25">
      <c r="I38" s="6">
        <f>IF(E38&gt;0, H38/E38, 0)</f>
      </c>
      <c r="K38" s="7"/>
    </row>
    <row r="39" spans="9:11" x14ac:dyDescent="0.25">
      <c r="I39" s="6">
        <f>IF(E39&gt;0, H39/E39, 0)</f>
      </c>
      <c r="K39" s="7"/>
    </row>
    <row r="40" spans="9:11" x14ac:dyDescent="0.25">
      <c r="I40" s="6">
        <f>IF(E40&gt;0, H40/E40, 0)</f>
      </c>
      <c r="K40" s="7"/>
    </row>
    <row r="41" spans="9:11" x14ac:dyDescent="0.25">
      <c r="I41" s="6">
        <f>IF(E41&gt;0, H41/E41, 0)</f>
      </c>
      <c r="K41" s="7"/>
    </row>
    <row r="42" spans="9:11" x14ac:dyDescent="0.25">
      <c r="I42" s="6">
        <f>IF(E42&gt;0, H42/E42, 0)</f>
      </c>
      <c r="K42" s="7"/>
    </row>
    <row r="43" spans="9:11" x14ac:dyDescent="0.25">
      <c r="I43" s="6">
        <f>IF(E43&gt;0, H43/E43, 0)</f>
      </c>
      <c r="K43" s="7"/>
    </row>
    <row r="44" spans="9:11" x14ac:dyDescent="0.25">
      <c r="I44" s="6">
        <f>IF(E44&gt;0, H44/E44, 0)</f>
      </c>
      <c r="K44" s="7"/>
    </row>
    <row r="45" spans="9:11" x14ac:dyDescent="0.25">
      <c r="I45" s="6">
        <f>IF(E45&gt;0, H45/E45, 0)</f>
      </c>
      <c r="K45" s="7"/>
    </row>
    <row r="46" spans="9:11" x14ac:dyDescent="0.25">
      <c r="I46" s="6">
        <f>IF(E46&gt;0, H46/E46, 0)</f>
      </c>
      <c r="K46" s="7"/>
    </row>
    <row r="47" spans="9:11" x14ac:dyDescent="0.25">
      <c r="I47" s="6">
        <f>IF(E47&gt;0, H47/E47, 0)</f>
      </c>
      <c r="K47" s="7"/>
    </row>
    <row r="48" spans="9:11" x14ac:dyDescent="0.25">
      <c r="I48" s="6">
        <f>IF(E48&gt;0, H48/E48, 0)</f>
      </c>
      <c r="K48" s="7"/>
    </row>
    <row r="49" spans="9:11" x14ac:dyDescent="0.25">
      <c r="I49" s="6">
        <f>IF(E49&gt;0, H49/E49, 0)</f>
      </c>
      <c r="K49" s="7"/>
    </row>
    <row r="50" spans="9:11" x14ac:dyDescent="0.25">
      <c r="I50" s="6">
        <f>IF(E50&gt;0, H50/E50, 0)</f>
      </c>
      <c r="K50" s="7"/>
    </row>
  </sheetData>
  <autoFilter ref="A1:L50"/>
  <dataValidations count="2">
    <dataValidation type="list" allowBlank="1" sqref="B10:B50">
      <formula1>Platforms</formula1>
    </dataValidation>
    <dataValidation type="list" allowBlank="1" sqref="B2:B50">
      <formula1>Platforms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7"/>
  <sheetFormatPr defaultRowHeight="15" outlineLevelRow="0" outlineLevelCol="0" x14ac:dyDescent="55"/>
  <cols>
    <col min="2" max="2" width="35" customWidth="1"/>
    <col min="3" max="3" width="32" customWidth="1"/>
    <col min="4" max="4" width="12" customWidth="1"/>
    <col min="6" max="6" width="8" customWidth="1"/>
    <col min="7" max="7" width="32" customWidth="1"/>
    <col min="8" max="8" width="12" customWidth="1"/>
  </cols>
  <sheetData>
    <row r="2" spans="2:2" x14ac:dyDescent="0.25">
      <c r="B2" s="8" t="s">
        <v>234</v>
      </c>
    </row>
    <row r="4" spans="2:3" x14ac:dyDescent="0.25">
      <c r="B4" s="9" t="s">
        <v>235</v>
      </c>
      <c r="C4" s="1">
        <f>COUNTA(CALENDAR!A2:A501)</f>
      </c>
    </row>
    <row r="6" spans="2:2" x14ac:dyDescent="0.25">
      <c r="B6" s="10" t="s">
        <v>236</v>
      </c>
    </row>
    <row r="7" spans="2:3" x14ac:dyDescent="0.25">
      <c r="B7" t="s">
        <v>237</v>
      </c>
      <c r="C7">
        <f>COUNTIF(CALENDAR!V2:V501, "Idea")</f>
      </c>
    </row>
    <row r="8" spans="2:3" x14ac:dyDescent="0.25">
      <c r="B8" t="s">
        <v>238</v>
      </c>
      <c r="C8">
        <f>COUNTIF(CALENDAR!V2:V501, "Draft")</f>
      </c>
    </row>
    <row r="9" spans="2:3" x14ac:dyDescent="0.25">
      <c r="B9" t="s">
        <v>239</v>
      </c>
      <c r="C9">
        <f>COUNTIF(CALENDAR!V2:V501, "Needs Review")</f>
      </c>
    </row>
    <row r="10" spans="2:3" x14ac:dyDescent="0.25">
      <c r="B10" t="s">
        <v>240</v>
      </c>
      <c r="C10">
        <f>COUNTIF(CALENDAR!V2:V501, "Approved")</f>
      </c>
    </row>
    <row r="11" spans="2:3" x14ac:dyDescent="0.25">
      <c r="B11" t="s">
        <v>241</v>
      </c>
      <c r="C11">
        <f>COUNTIF(CALENDAR!V2:V501, "Scheduled")</f>
      </c>
    </row>
    <row r="12" spans="2:3" x14ac:dyDescent="0.25">
      <c r="B12" t="s">
        <v>242</v>
      </c>
      <c r="C12">
        <f>COUNTIF(CALENDAR!V2:V501, "Published")</f>
      </c>
    </row>
    <row r="14" spans="2:2" x14ac:dyDescent="0.25">
      <c r="B14" s="10" t="s">
        <v>243</v>
      </c>
    </row>
    <row r="15" spans="2:3" x14ac:dyDescent="0.25">
      <c r="B15" t="s">
        <v>244</v>
      </c>
      <c r="C15" s="9">
        <f>SUM('LEADS &amp; RESULTS'!H:H)</f>
      </c>
    </row>
    <row r="16" spans="2:3" x14ac:dyDescent="0.25">
      <c r="B16" t="s">
        <v>245</v>
      </c>
      <c r="C16" s="9">
        <f>SUM('LEADS &amp; RESULTS'!J:J)</f>
      </c>
    </row>
    <row r="17" spans="2:3" x14ac:dyDescent="0.25">
      <c r="B17" t="s">
        <v>246</v>
      </c>
      <c r="C17" s="11">
        <f>IFERROR(SUM('LEADS &amp; RESULTS'!H:H)/SUM('LEADS &amp; RESULTS'!E:E), 0)</f>
      </c>
    </row>
    <row r="19" spans="2:2" x14ac:dyDescent="0.25">
      <c r="B19" s="12" t="s">
        <v>247</v>
      </c>
    </row>
    <row r="20" spans="2:8" x14ac:dyDescent="0.25">
      <c r="B20" s="13" t="s">
        <v>248</v>
      </c>
      <c r="C20" s="13" t="s">
        <v>249</v>
      </c>
      <c r="D20" s="13" t="s">
        <v>250</v>
      </c>
      <c r="F20" s="13" t="s">
        <v>248</v>
      </c>
      <c r="G20" s="13" t="s">
        <v>251</v>
      </c>
      <c r="H20" s="13" t="s">
        <v>252</v>
      </c>
    </row>
    <row r="21" spans="2:8" x14ac:dyDescent="0.25">
      <c r="B21">
        <v>1</v>
      </c>
      <c r="C21">
        <f>IF(D21&gt;0, INDEX('LEADS &amp; RESULTS'!D$2:D$100, MATCH(D21, 'LEADS &amp; RESULTS'!H$2:H$100, 0)), "-")</f>
      </c>
      <c r="D21">
        <f>IFERROR(LARGE('LEADS &amp; RESULTS'!H$2:H$100, 1), 0)</f>
      </c>
      <c r="F21">
        <v>1</v>
      </c>
      <c r="G21">
        <f>IF(H21&gt;0, INDEX('LEADS &amp; RESULTS'!D$2:D$100, MATCH(H21, 'LEADS &amp; RESULTS'!J$2:J$100, 0)), "-")</f>
      </c>
      <c r="H21">
        <f>IFERROR(LARGE('LEADS &amp; RESULTS'!J$2:J$100, 1), 0)</f>
      </c>
    </row>
    <row r="22" spans="2:8" x14ac:dyDescent="0.25">
      <c r="B22">
        <v>2</v>
      </c>
      <c r="C22">
        <f>IF(D22&gt;0, INDEX('LEADS &amp; RESULTS'!D$2:D$100, MATCH(D22, 'LEADS &amp; RESULTS'!H$2:H$100, 0)), "-")</f>
      </c>
      <c r="D22">
        <f>IFERROR(LARGE('LEADS &amp; RESULTS'!H$2:H$100, 2), 0)</f>
      </c>
      <c r="F22">
        <v>2</v>
      </c>
      <c r="G22">
        <f>IF(H22&gt;0, INDEX('LEADS &amp; RESULTS'!D$2:D$100, MATCH(H22, 'LEADS &amp; RESULTS'!J$2:J$100, 0)), "-")</f>
      </c>
      <c r="H22">
        <f>IFERROR(LARGE('LEADS &amp; RESULTS'!J$2:J$100, 2), 0)</f>
      </c>
    </row>
    <row r="23" spans="2:8" x14ac:dyDescent="0.25">
      <c r="B23">
        <v>3</v>
      </c>
      <c r="C23">
        <f>IF(D23&gt;0, INDEX('LEADS &amp; RESULTS'!D$2:D$100, MATCH(D23, 'LEADS &amp; RESULTS'!H$2:H$100, 0)), "-")</f>
      </c>
      <c r="D23">
        <f>IFERROR(LARGE('LEADS &amp; RESULTS'!H$2:H$100, 3), 0)</f>
      </c>
      <c r="F23">
        <v>3</v>
      </c>
      <c r="G23">
        <f>IF(H23&gt;0, INDEX('LEADS &amp; RESULTS'!D$2:D$100, MATCH(H23, 'LEADS &amp; RESULTS'!J$2:J$100, 0)), "-")</f>
      </c>
      <c r="H23">
        <f>IFERROR(LARGE('LEADS &amp; RESULTS'!J$2:J$100, 3), 0)</f>
      </c>
    </row>
    <row r="24" spans="2:8" x14ac:dyDescent="0.25">
      <c r="B24">
        <v>4</v>
      </c>
      <c r="C24">
        <f>IF(D24&gt;0, INDEX('LEADS &amp; RESULTS'!D$2:D$100, MATCH(D24, 'LEADS &amp; RESULTS'!H$2:H$100, 0)), "-")</f>
      </c>
      <c r="D24">
        <f>IFERROR(LARGE('LEADS &amp; RESULTS'!H$2:H$100, 4), 0)</f>
      </c>
      <c r="F24">
        <v>4</v>
      </c>
      <c r="G24">
        <f>IF(H24&gt;0, INDEX('LEADS &amp; RESULTS'!D$2:D$100, MATCH(H24, 'LEADS &amp; RESULTS'!J$2:J$100, 0)), "-")</f>
      </c>
      <c r="H24">
        <f>IFERROR(LARGE('LEADS &amp; RESULTS'!J$2:J$100, 4), 0)</f>
      </c>
    </row>
    <row r="25" spans="2:8" x14ac:dyDescent="0.25">
      <c r="B25">
        <v>5</v>
      </c>
      <c r="C25">
        <f>IF(D25&gt;0, INDEX('LEADS &amp; RESULTS'!D$2:D$100, MATCH(D25, 'LEADS &amp; RESULTS'!H$2:H$100, 0)), "-")</f>
      </c>
      <c r="D25">
        <f>IFERROR(LARGE('LEADS &amp; RESULTS'!H$2:H$100, 5), 0)</f>
      </c>
      <c r="F25">
        <v>5</v>
      </c>
      <c r="G25">
        <f>IF(H25&gt;0, INDEX('LEADS &amp; RESULTS'!D$2:D$100, MATCH(H25, 'LEADS &amp; RESULTS'!J$2:J$100, 0)), "-")</f>
      </c>
      <c r="H25">
        <f>IFERROR(LARGE('LEADS &amp; RESULTS'!J$2:J$100, 5), 0)</f>
      </c>
    </row>
    <row r="27" spans="2:2" x14ac:dyDescent="0.25">
      <c r="B27" s="14" t="s">
        <v>253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SETTINGS</vt:lpstr>
      <vt:lpstr>CALENDAR</vt:lpstr>
      <vt:lpstr>CONTENT BACKLOG</vt:lpstr>
      <vt:lpstr>LEADS &amp; RESULTS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2026-02-26T10:28:35Z</dcterms:created>
  <dcterms:modified xsi:type="dcterms:W3CDTF">2026-02-26T10:28:35Z</dcterms:modified>
</cp:coreProperties>
</file>